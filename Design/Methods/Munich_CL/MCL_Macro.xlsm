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05" windowWidth="18855" windowHeight="11145" activeTab="1"/>
  </bookViews>
  <sheets>
    <sheet name="Sheet1" sheetId="1" r:id="rId1"/>
    <sheet name="Sheet2" sheetId="2" r:id="rId2"/>
    <sheet name="Sheet3" sheetId="3" r:id="rId3"/>
  </sheets>
  <definedNames>
    <definedName name="solver_adj" localSheetId="1" hidden="1">Sheet2!$R$64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Sheet2!$T$66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45621"/>
</workbook>
</file>

<file path=xl/calcChain.xml><?xml version="1.0" encoding="utf-8"?>
<calcChain xmlns="http://schemas.openxmlformats.org/spreadsheetml/2006/main">
  <c r="J122" i="2" l="1"/>
  <c r="J119" i="2"/>
  <c r="J118" i="2"/>
  <c r="I121" i="2"/>
  <c r="I120" i="2"/>
  <c r="H121" i="2"/>
  <c r="H120" i="2"/>
  <c r="G123" i="2"/>
  <c r="G122" i="2"/>
  <c r="G118" i="2"/>
  <c r="E118" i="2"/>
  <c r="E117" i="2"/>
  <c r="Q117" i="2" s="1"/>
  <c r="D117" i="2"/>
  <c r="L113" i="2"/>
  <c r="H123" i="2" s="1"/>
  <c r="M112" i="2"/>
  <c r="H122" i="2" s="1"/>
  <c r="L112" i="2"/>
  <c r="N111" i="2"/>
  <c r="M111" i="2"/>
  <c r="L111" i="2"/>
  <c r="O110" i="2"/>
  <c r="N110" i="2"/>
  <c r="M110" i="2"/>
  <c r="L110" i="2"/>
  <c r="P109" i="2"/>
  <c r="O109" i="2"/>
  <c r="N109" i="2"/>
  <c r="M109" i="2"/>
  <c r="L109" i="2"/>
  <c r="Q108" i="2"/>
  <c r="H118" i="2" s="1"/>
  <c r="P108" i="2"/>
  <c r="O108" i="2"/>
  <c r="N108" i="2"/>
  <c r="M108" i="2"/>
  <c r="L108" i="2"/>
  <c r="R107" i="2"/>
  <c r="H117" i="2" s="1"/>
  <c r="Q107" i="2"/>
  <c r="P107" i="2"/>
  <c r="O107" i="2"/>
  <c r="N107" i="2"/>
  <c r="M107" i="2"/>
  <c r="L107" i="2"/>
  <c r="I108" i="2"/>
  <c r="C118" i="2" s="1"/>
  <c r="C113" i="2"/>
  <c r="D112" i="2"/>
  <c r="E112" i="2" s="1"/>
  <c r="C112" i="2"/>
  <c r="E111" i="2"/>
  <c r="D111" i="2"/>
  <c r="C111" i="2"/>
  <c r="F110" i="2"/>
  <c r="G120" i="2" s="1"/>
  <c r="E110" i="2"/>
  <c r="D110" i="2"/>
  <c r="C110" i="2"/>
  <c r="G109" i="2"/>
  <c r="F109" i="2"/>
  <c r="E109" i="2"/>
  <c r="D109" i="2"/>
  <c r="C109" i="2"/>
  <c r="H108" i="2"/>
  <c r="G108" i="2"/>
  <c r="F108" i="2"/>
  <c r="E108" i="2"/>
  <c r="D108" i="2"/>
  <c r="C108" i="2"/>
  <c r="I107" i="2"/>
  <c r="G117" i="2" s="1"/>
  <c r="H107" i="2"/>
  <c r="G107" i="2"/>
  <c r="F107" i="2"/>
  <c r="E107" i="2"/>
  <c r="D107" i="2"/>
  <c r="C107" i="2"/>
  <c r="C98" i="2"/>
  <c r="I99" i="2"/>
  <c r="O94" i="2"/>
  <c r="L94" i="2"/>
  <c r="M113" i="2" s="1"/>
  <c r="H94" i="2"/>
  <c r="H95" i="2" s="1"/>
  <c r="D94" i="2"/>
  <c r="L104" i="2"/>
  <c r="M103" i="2"/>
  <c r="L103" i="2"/>
  <c r="N102" i="2"/>
  <c r="J121" i="2" s="1"/>
  <c r="M102" i="2"/>
  <c r="L102" i="2"/>
  <c r="O101" i="2"/>
  <c r="J120" i="2" s="1"/>
  <c r="N101" i="2"/>
  <c r="M101" i="2"/>
  <c r="L101" i="2"/>
  <c r="P100" i="2"/>
  <c r="O100" i="2"/>
  <c r="N100" i="2"/>
  <c r="M100" i="2"/>
  <c r="L100" i="2"/>
  <c r="Q99" i="2"/>
  <c r="P99" i="2"/>
  <c r="O99" i="2"/>
  <c r="N99" i="2"/>
  <c r="M99" i="2"/>
  <c r="L99" i="2"/>
  <c r="R98" i="2"/>
  <c r="F117" i="2" s="1"/>
  <c r="Q98" i="2"/>
  <c r="P98" i="2"/>
  <c r="O98" i="2"/>
  <c r="N98" i="2"/>
  <c r="M98" i="2"/>
  <c r="L98" i="2"/>
  <c r="C104" i="2"/>
  <c r="I123" i="2" s="1"/>
  <c r="D103" i="2"/>
  <c r="C103" i="2"/>
  <c r="E102" i="2"/>
  <c r="D102" i="2"/>
  <c r="C102" i="2"/>
  <c r="F101" i="2"/>
  <c r="E101" i="2"/>
  <c r="D101" i="2"/>
  <c r="C101" i="2"/>
  <c r="G100" i="2"/>
  <c r="I119" i="2" s="1"/>
  <c r="F100" i="2"/>
  <c r="E100" i="2"/>
  <c r="D100" i="2"/>
  <c r="C100" i="2"/>
  <c r="H99" i="2"/>
  <c r="I118" i="2" s="1"/>
  <c r="G99" i="2"/>
  <c r="F99" i="2"/>
  <c r="E99" i="2"/>
  <c r="D99" i="2"/>
  <c r="C99" i="2"/>
  <c r="I98" i="2"/>
  <c r="I117" i="2" s="1"/>
  <c r="H98" i="2"/>
  <c r="G98" i="2"/>
  <c r="F98" i="2"/>
  <c r="E98" i="2"/>
  <c r="D98" i="2"/>
  <c r="M42" i="2"/>
  <c r="L39" i="2"/>
  <c r="L38" i="2"/>
  <c r="Q37" i="2"/>
  <c r="L37" i="2"/>
  <c r="D41" i="2"/>
  <c r="G39" i="2"/>
  <c r="D38" i="2"/>
  <c r="C38" i="2"/>
  <c r="M33" i="2"/>
  <c r="N32" i="2"/>
  <c r="O31" i="2"/>
  <c r="L31" i="2"/>
  <c r="N30" i="2"/>
  <c r="L30" i="2"/>
  <c r="Q29" i="2"/>
  <c r="P29" i="2"/>
  <c r="O29" i="2"/>
  <c r="Q28" i="2"/>
  <c r="N28" i="2"/>
  <c r="L28" i="2"/>
  <c r="C34" i="2"/>
  <c r="D33" i="2"/>
  <c r="D42" i="2" s="1"/>
  <c r="C33" i="2"/>
  <c r="E32" i="2"/>
  <c r="D32" i="2"/>
  <c r="C32" i="2"/>
  <c r="C41" i="2" s="1"/>
  <c r="F31" i="2"/>
  <c r="E31" i="2"/>
  <c r="D31" i="2"/>
  <c r="M40" i="2" s="1"/>
  <c r="C31" i="2"/>
  <c r="C40" i="2" s="1"/>
  <c r="G30" i="2"/>
  <c r="F30" i="2"/>
  <c r="E30" i="2"/>
  <c r="D30" i="2"/>
  <c r="D39" i="2" s="1"/>
  <c r="C30" i="2"/>
  <c r="C39" i="2" s="1"/>
  <c r="H29" i="2"/>
  <c r="G29" i="2"/>
  <c r="F29" i="2"/>
  <c r="E29" i="2"/>
  <c r="D29" i="2"/>
  <c r="C29" i="2"/>
  <c r="I28" i="2"/>
  <c r="I37" i="2" s="1"/>
  <c r="H28" i="2"/>
  <c r="H37" i="2" s="1"/>
  <c r="G28" i="2"/>
  <c r="P37" i="2" s="1"/>
  <c r="F28" i="2"/>
  <c r="E28" i="2"/>
  <c r="D28" i="2"/>
  <c r="C28" i="2"/>
  <c r="C37" i="2" s="1"/>
  <c r="I25" i="2"/>
  <c r="H25" i="2"/>
  <c r="G25" i="2"/>
  <c r="F25" i="2"/>
  <c r="E25" i="2"/>
  <c r="D25" i="2"/>
  <c r="C25" i="2"/>
  <c r="L20" i="2"/>
  <c r="M19" i="2"/>
  <c r="L19" i="2"/>
  <c r="O18" i="2"/>
  <c r="L18" i="2"/>
  <c r="L17" i="2"/>
  <c r="O16" i="2"/>
  <c r="N16" i="2"/>
  <c r="C21" i="2"/>
  <c r="D20" i="2"/>
  <c r="D19" i="2"/>
  <c r="D18" i="2"/>
  <c r="G17" i="2"/>
  <c r="G23" i="2" s="1"/>
  <c r="G48" i="2" s="1"/>
  <c r="D84" i="2" s="1"/>
  <c r="D17" i="2"/>
  <c r="D23" i="2" s="1"/>
  <c r="C17" i="2"/>
  <c r="G16" i="2"/>
  <c r="D16" i="2"/>
  <c r="Q13" i="2"/>
  <c r="P13" i="2"/>
  <c r="O13" i="2"/>
  <c r="N13" i="2"/>
  <c r="M13" i="2"/>
  <c r="M20" i="2" s="1"/>
  <c r="L13" i="2"/>
  <c r="H13" i="2"/>
  <c r="H16" i="2" s="1"/>
  <c r="G13" i="2"/>
  <c r="G94" i="2" s="1"/>
  <c r="F13" i="2"/>
  <c r="E13" i="2"/>
  <c r="D13" i="2"/>
  <c r="C13" i="2"/>
  <c r="C20" i="2" s="1"/>
  <c r="D52" i="2" l="1"/>
  <c r="D76" i="2" s="1"/>
  <c r="D51" i="2"/>
  <c r="D75" i="2" s="1"/>
  <c r="D48" i="2"/>
  <c r="D72" i="2" s="1"/>
  <c r="D50" i="2"/>
  <c r="D74" i="2" s="1"/>
  <c r="C43" i="2"/>
  <c r="C45" i="2" s="1"/>
  <c r="L34" i="2"/>
  <c r="N18" i="2"/>
  <c r="N94" i="2"/>
  <c r="N19" i="2"/>
  <c r="N17" i="2"/>
  <c r="N23" i="2" s="1"/>
  <c r="O38" i="2"/>
  <c r="O39" i="2"/>
  <c r="O40" i="2"/>
  <c r="E40" i="2"/>
  <c r="H45" i="2"/>
  <c r="H56" i="2" s="1"/>
  <c r="F40" i="2"/>
  <c r="G37" i="2"/>
  <c r="E19" i="2"/>
  <c r="E17" i="2"/>
  <c r="E18" i="2"/>
  <c r="E94" i="2"/>
  <c r="E16" i="2"/>
  <c r="P16" i="2"/>
  <c r="P23" i="2" s="1"/>
  <c r="P49" i="2" s="1"/>
  <c r="M85" i="2" s="1"/>
  <c r="P94" i="2"/>
  <c r="P17" i="2"/>
  <c r="N40" i="2"/>
  <c r="J123" i="2"/>
  <c r="F17" i="2"/>
  <c r="F94" i="2"/>
  <c r="F16" i="2"/>
  <c r="F18" i="2"/>
  <c r="L29" i="2"/>
  <c r="E39" i="2"/>
  <c r="P28" i="2"/>
  <c r="N31" i="2"/>
  <c r="O37" i="2"/>
  <c r="O45" i="2" s="1"/>
  <c r="O59" i="2" s="1"/>
  <c r="M118" i="2"/>
  <c r="E41" i="2"/>
  <c r="E38" i="2"/>
  <c r="L43" i="2"/>
  <c r="G38" i="2"/>
  <c r="P38" i="2"/>
  <c r="C16" i="2"/>
  <c r="C23" i="2" s="1"/>
  <c r="C53" i="2" s="1"/>
  <c r="D71" i="2" s="1"/>
  <c r="C94" i="2"/>
  <c r="D113" i="2" s="1"/>
  <c r="E113" i="2" s="1"/>
  <c r="C19" i="2"/>
  <c r="O23" i="2"/>
  <c r="Q38" i="2"/>
  <c r="Q45" i="2" s="1"/>
  <c r="Q56" i="2" s="1"/>
  <c r="H38" i="2"/>
  <c r="C18" i="2"/>
  <c r="O28" i="2"/>
  <c r="Q16" i="2"/>
  <c r="Q94" i="2"/>
  <c r="D60" i="2"/>
  <c r="C76" i="2" s="1"/>
  <c r="M41" i="2"/>
  <c r="M32" i="2"/>
  <c r="F39" i="2"/>
  <c r="N113" i="2"/>
  <c r="F37" i="2"/>
  <c r="F45" i="2" s="1"/>
  <c r="F56" i="2" s="1"/>
  <c r="C81" i="2" s="1"/>
  <c r="N39" i="2"/>
  <c r="H119" i="2"/>
  <c r="Q109" i="2"/>
  <c r="N37" i="2"/>
  <c r="D59" i="2"/>
  <c r="C75" i="2" s="1"/>
  <c r="M31" i="2"/>
  <c r="D40" i="2"/>
  <c r="F112" i="2"/>
  <c r="G112" i="2" s="1"/>
  <c r="H112" i="2" s="1"/>
  <c r="I112" i="2" s="1"/>
  <c r="C122" i="2" s="1"/>
  <c r="K118" i="2"/>
  <c r="O58" i="2"/>
  <c r="L83" i="2" s="1"/>
  <c r="P110" i="2"/>
  <c r="Q110" i="2" s="1"/>
  <c r="R110" i="2" s="1"/>
  <c r="D120" i="2" s="1"/>
  <c r="L120" i="2" s="1"/>
  <c r="L16" i="2"/>
  <c r="L21" i="2"/>
  <c r="M17" i="2"/>
  <c r="L40" i="2"/>
  <c r="M37" i="2"/>
  <c r="M28" i="2"/>
  <c r="N38" i="2"/>
  <c r="N29" i="2"/>
  <c r="P39" i="2"/>
  <c r="P45" i="2" s="1"/>
  <c r="P30" i="2"/>
  <c r="L42" i="2"/>
  <c r="L45" i="2" s="1"/>
  <c r="L33" i="2"/>
  <c r="C42" i="2"/>
  <c r="G121" i="2"/>
  <c r="F111" i="2"/>
  <c r="G111" i="2" s="1"/>
  <c r="H111" i="2" s="1"/>
  <c r="I111" i="2" s="1"/>
  <c r="C121" i="2" s="1"/>
  <c r="O30" i="2"/>
  <c r="M38" i="2"/>
  <c r="M18" i="2"/>
  <c r="M16" i="2"/>
  <c r="M23" i="2" s="1"/>
  <c r="M50" i="2" s="1"/>
  <c r="M74" i="2" s="1"/>
  <c r="M94" i="2"/>
  <c r="N112" i="2" s="1"/>
  <c r="E37" i="2"/>
  <c r="F38" i="2"/>
  <c r="M29" i="2"/>
  <c r="D37" i="2"/>
  <c r="D45" i="2" s="1"/>
  <c r="D56" i="2" s="1"/>
  <c r="C72" i="2" s="1"/>
  <c r="N41" i="2"/>
  <c r="G119" i="2"/>
  <c r="H109" i="2"/>
  <c r="I109" i="2" s="1"/>
  <c r="C119" i="2" s="1"/>
  <c r="L117" i="2"/>
  <c r="J117" i="2"/>
  <c r="N117" i="2" s="1"/>
  <c r="O111" i="2"/>
  <c r="P111" i="2" s="1"/>
  <c r="Q111" i="2" s="1"/>
  <c r="R111" i="2" s="1"/>
  <c r="D121" i="2" s="1"/>
  <c r="L121" i="2" s="1"/>
  <c r="M117" i="2"/>
  <c r="I122" i="2"/>
  <c r="G110" i="2"/>
  <c r="H110" i="2" s="1"/>
  <c r="I110" i="2" s="1"/>
  <c r="C120" i="2" s="1"/>
  <c r="C117" i="2"/>
  <c r="O17" i="2"/>
  <c r="R28" i="2"/>
  <c r="M30" i="2"/>
  <c r="L32" i="2"/>
  <c r="R37" i="2"/>
  <c r="M39" i="2"/>
  <c r="L41" i="2"/>
  <c r="D49" i="2"/>
  <c r="D73" i="2" s="1"/>
  <c r="G49" i="2"/>
  <c r="D85" i="2" s="1"/>
  <c r="P58" i="2" l="1"/>
  <c r="P56" i="2"/>
  <c r="L84" i="2" s="1"/>
  <c r="P57" i="2"/>
  <c r="L85" i="2" s="1"/>
  <c r="N51" i="2"/>
  <c r="M80" i="2" s="1"/>
  <c r="N48" i="2"/>
  <c r="M77" i="2" s="1"/>
  <c r="N49" i="2"/>
  <c r="M78" i="2" s="1"/>
  <c r="N50" i="2"/>
  <c r="M79" i="2" s="1"/>
  <c r="L58" i="2"/>
  <c r="L68" i="2" s="1"/>
  <c r="L56" i="2"/>
  <c r="L66" i="2" s="1"/>
  <c r="L61" i="2"/>
  <c r="L71" i="2" s="1"/>
  <c r="L60" i="2"/>
  <c r="L70" i="2" s="1"/>
  <c r="L62" i="2"/>
  <c r="L59" i="2"/>
  <c r="L69" i="2" s="1"/>
  <c r="L57" i="2"/>
  <c r="L67" i="2" s="1"/>
  <c r="C56" i="2"/>
  <c r="C66" i="2" s="1"/>
  <c r="C61" i="2"/>
  <c r="C71" i="2" s="1"/>
  <c r="C58" i="2"/>
  <c r="C68" i="2" s="1"/>
  <c r="C60" i="2"/>
  <c r="C70" i="2" s="1"/>
  <c r="C62" i="2"/>
  <c r="C57" i="2"/>
  <c r="C67" i="2" s="1"/>
  <c r="C59" i="2"/>
  <c r="C69" i="2" s="1"/>
  <c r="M51" i="2"/>
  <c r="M75" i="2" s="1"/>
  <c r="C52" i="2"/>
  <c r="D70" i="2" s="1"/>
  <c r="K119" i="2"/>
  <c r="N45" i="2"/>
  <c r="Q95" i="2"/>
  <c r="R99" i="2" s="1"/>
  <c r="F118" i="2" s="1"/>
  <c r="R108" i="2"/>
  <c r="D118" i="2" s="1"/>
  <c r="C48" i="2"/>
  <c r="D66" i="2" s="1"/>
  <c r="F23" i="2"/>
  <c r="P120" i="2"/>
  <c r="K120" i="2"/>
  <c r="M45" i="2"/>
  <c r="C51" i="2"/>
  <c r="D69" i="2" s="1"/>
  <c r="P121" i="2"/>
  <c r="K121" i="2"/>
  <c r="M48" i="2"/>
  <c r="M72" i="2" s="1"/>
  <c r="C49" i="2"/>
  <c r="D67" i="2" s="1"/>
  <c r="K117" i="2"/>
  <c r="P117" i="2"/>
  <c r="K122" i="2"/>
  <c r="O57" i="2"/>
  <c r="L82" i="2" s="1"/>
  <c r="O56" i="2"/>
  <c r="L81" i="2" s="1"/>
  <c r="P48" i="2"/>
  <c r="M84" i="2" s="1"/>
  <c r="F57" i="2"/>
  <c r="C82" i="2" s="1"/>
  <c r="E45" i="2"/>
  <c r="L23" i="2"/>
  <c r="R109" i="2"/>
  <c r="D119" i="2" s="1"/>
  <c r="L119" i="2" s="1"/>
  <c r="D57" i="2"/>
  <c r="C73" i="2" s="1"/>
  <c r="O112" i="2"/>
  <c r="P112" i="2" s="1"/>
  <c r="Q112" i="2" s="1"/>
  <c r="R112" i="2" s="1"/>
  <c r="D122" i="2" s="1"/>
  <c r="L122" i="2" s="1"/>
  <c r="Q57" i="2"/>
  <c r="F113" i="2"/>
  <c r="G113" i="2" s="1"/>
  <c r="H113" i="2" s="1"/>
  <c r="I113" i="2" s="1"/>
  <c r="C123" i="2" s="1"/>
  <c r="O50" i="2"/>
  <c r="M83" i="2" s="1"/>
  <c r="O49" i="2"/>
  <c r="M82" i="2" s="1"/>
  <c r="O48" i="2"/>
  <c r="M81" i="2" s="1"/>
  <c r="M52" i="2"/>
  <c r="M76" i="2" s="1"/>
  <c r="O113" i="2"/>
  <c r="P113" i="2" s="1"/>
  <c r="Q113" i="2" s="1"/>
  <c r="R113" i="2" s="1"/>
  <c r="D123" i="2" s="1"/>
  <c r="L123" i="2" s="1"/>
  <c r="H57" i="2"/>
  <c r="C50" i="2"/>
  <c r="D68" i="2" s="1"/>
  <c r="G45" i="2"/>
  <c r="F58" i="2"/>
  <c r="C83" i="2" s="1"/>
  <c r="D61" i="2"/>
  <c r="D58" i="2"/>
  <c r="C74" i="2" s="1"/>
  <c r="M49" i="2"/>
  <c r="M73" i="2" s="1"/>
  <c r="E23" i="2"/>
  <c r="F59" i="2"/>
  <c r="N118" i="2" l="1"/>
  <c r="Q118" i="2"/>
  <c r="M61" i="2"/>
  <c r="M58" i="2"/>
  <c r="L74" i="2" s="1"/>
  <c r="M56" i="2"/>
  <c r="L72" i="2" s="1"/>
  <c r="M60" i="2"/>
  <c r="L76" i="2" s="1"/>
  <c r="M59" i="2"/>
  <c r="L75" i="2" s="1"/>
  <c r="M57" i="2"/>
  <c r="L73" i="2" s="1"/>
  <c r="L92" i="2" s="1"/>
  <c r="P119" i="2"/>
  <c r="G58" i="2"/>
  <c r="G56" i="2"/>
  <c r="C84" i="2" s="1"/>
  <c r="G57" i="2"/>
  <c r="C85" i="2" s="1"/>
  <c r="L118" i="2"/>
  <c r="P118" i="2"/>
  <c r="E49" i="2"/>
  <c r="D78" i="2" s="1"/>
  <c r="E48" i="2"/>
  <c r="D77" i="2" s="1"/>
  <c r="E50" i="2"/>
  <c r="D79" i="2" s="1"/>
  <c r="E51" i="2"/>
  <c r="D80" i="2" s="1"/>
  <c r="P122" i="2"/>
  <c r="N56" i="2"/>
  <c r="L77" i="2" s="1"/>
  <c r="N58" i="2"/>
  <c r="L79" i="2" s="1"/>
  <c r="N60" i="2"/>
  <c r="N59" i="2"/>
  <c r="L80" i="2" s="1"/>
  <c r="N57" i="2"/>
  <c r="L78" i="2" s="1"/>
  <c r="L53" i="2"/>
  <c r="M71" i="2" s="1"/>
  <c r="L52" i="2"/>
  <c r="M70" i="2" s="1"/>
  <c r="L50" i="2"/>
  <c r="M68" i="2" s="1"/>
  <c r="L51" i="2"/>
  <c r="M69" i="2" s="1"/>
  <c r="L49" i="2"/>
  <c r="M67" i="2" s="1"/>
  <c r="L48" i="2"/>
  <c r="M66" i="2" s="1"/>
  <c r="E59" i="2"/>
  <c r="C80" i="2" s="1"/>
  <c r="E60" i="2"/>
  <c r="E57" i="2"/>
  <c r="C78" i="2" s="1"/>
  <c r="E58" i="2"/>
  <c r="C79" i="2" s="1"/>
  <c r="E56" i="2"/>
  <c r="C77" i="2" s="1"/>
  <c r="C87" i="2" s="1"/>
  <c r="K123" i="2"/>
  <c r="P123" i="2"/>
  <c r="C92" i="2"/>
  <c r="F48" i="2"/>
  <c r="D81" i="2" s="1"/>
  <c r="F49" i="2"/>
  <c r="D82" i="2" s="1"/>
  <c r="F50" i="2"/>
  <c r="D83" i="2" s="1"/>
  <c r="E72" i="2" l="1"/>
  <c r="E75" i="2"/>
  <c r="E76" i="2"/>
  <c r="E81" i="2"/>
  <c r="E83" i="2"/>
  <c r="E74" i="2"/>
  <c r="E70" i="2"/>
  <c r="E73" i="2"/>
  <c r="E68" i="2"/>
  <c r="E67" i="2"/>
  <c r="E71" i="2"/>
  <c r="E69" i="2"/>
  <c r="E82" i="2"/>
  <c r="E66" i="2"/>
  <c r="L95" i="2"/>
  <c r="M104" i="2" s="1"/>
  <c r="P95" i="2"/>
  <c r="Q100" i="2" s="1"/>
  <c r="R100" i="2" s="1"/>
  <c r="F119" i="2" s="1"/>
  <c r="N119" i="2" s="1"/>
  <c r="O95" i="2"/>
  <c r="P101" i="2" s="1"/>
  <c r="Q101" i="2" s="1"/>
  <c r="R101" i="2" s="1"/>
  <c r="F120" i="2" s="1"/>
  <c r="N120" i="2" s="1"/>
  <c r="M95" i="2"/>
  <c r="N103" i="2" s="1"/>
  <c r="N95" i="2"/>
  <c r="O102" i="2" s="1"/>
  <c r="P102" i="2" s="1"/>
  <c r="Q102" i="2" s="1"/>
  <c r="R102" i="2" s="1"/>
  <c r="F121" i="2" s="1"/>
  <c r="N121" i="2" s="1"/>
  <c r="O69" i="2"/>
  <c r="E84" i="2"/>
  <c r="M87" i="2"/>
  <c r="O71" i="2" s="1"/>
  <c r="O66" i="2"/>
  <c r="F95" i="2"/>
  <c r="G101" i="2" s="1"/>
  <c r="G95" i="2"/>
  <c r="H100" i="2" s="1"/>
  <c r="I100" i="2" s="1"/>
  <c r="E119" i="2" s="1"/>
  <c r="C95" i="2"/>
  <c r="D104" i="2" s="1"/>
  <c r="E104" i="2" s="1"/>
  <c r="F104" i="2" s="1"/>
  <c r="G104" i="2" s="1"/>
  <c r="H104" i="2" s="1"/>
  <c r="I104" i="2" s="1"/>
  <c r="E123" i="2" s="1"/>
  <c r="D95" i="2"/>
  <c r="E103" i="2" s="1"/>
  <c r="E95" i="2"/>
  <c r="F102" i="2" s="1"/>
  <c r="E79" i="2"/>
  <c r="F79" i="2"/>
  <c r="N73" i="2"/>
  <c r="F83" i="2"/>
  <c r="E78" i="2"/>
  <c r="F77" i="2"/>
  <c r="F78" i="2"/>
  <c r="E85" i="2"/>
  <c r="N76" i="2"/>
  <c r="E80" i="2"/>
  <c r="N74" i="2"/>
  <c r="D87" i="2"/>
  <c r="N78" i="2"/>
  <c r="O67" i="2"/>
  <c r="N80" i="2"/>
  <c r="N92" i="2"/>
  <c r="N75" i="2"/>
  <c r="E77" i="2"/>
  <c r="L87" i="2"/>
  <c r="O70" i="2"/>
  <c r="Q119" i="2" l="1"/>
  <c r="M119" i="2"/>
  <c r="O103" i="2"/>
  <c r="P103" i="2" s="1"/>
  <c r="Q103" i="2" s="1"/>
  <c r="R103" i="2" s="1"/>
  <c r="F122" i="2" s="1"/>
  <c r="N122" i="2" s="1"/>
  <c r="N83" i="2"/>
  <c r="N81" i="2"/>
  <c r="N84" i="2"/>
  <c r="N82" i="2"/>
  <c r="N70" i="2"/>
  <c r="N68" i="2"/>
  <c r="N71" i="2"/>
  <c r="N67" i="2"/>
  <c r="N69" i="2"/>
  <c r="N85" i="2"/>
  <c r="N66" i="2"/>
  <c r="F84" i="2"/>
  <c r="F73" i="2"/>
  <c r="F74" i="2"/>
  <c r="F76" i="2"/>
  <c r="F71" i="2"/>
  <c r="F72" i="2"/>
  <c r="F75" i="2"/>
  <c r="F85" i="2"/>
  <c r="F67" i="2"/>
  <c r="F66" i="2"/>
  <c r="F70" i="2"/>
  <c r="F68" i="2"/>
  <c r="F69" i="2"/>
  <c r="F82" i="2"/>
  <c r="F80" i="2"/>
  <c r="N104" i="2"/>
  <c r="O104" i="2" s="1"/>
  <c r="P104" i="2" s="1"/>
  <c r="Q104" i="2" s="1"/>
  <c r="R104" i="2" s="1"/>
  <c r="F123" i="2" s="1"/>
  <c r="N123" i="2" s="1"/>
  <c r="M123" i="2"/>
  <c r="O85" i="2"/>
  <c r="O74" i="2"/>
  <c r="O77" i="2"/>
  <c r="O75" i="2"/>
  <c r="O84" i="2"/>
  <c r="O78" i="2"/>
  <c r="O83" i="2"/>
  <c r="O73" i="2"/>
  <c r="O82" i="2"/>
  <c r="O72" i="2"/>
  <c r="M88" i="2" s="1"/>
  <c r="O81" i="2"/>
  <c r="O80" i="2"/>
  <c r="O79" i="2"/>
  <c r="O76" i="2"/>
  <c r="O68" i="2"/>
  <c r="G102" i="2"/>
  <c r="H102" i="2" s="1"/>
  <c r="I102" i="2" s="1"/>
  <c r="E121" i="2" s="1"/>
  <c r="F81" i="2"/>
  <c r="C89" i="2"/>
  <c r="C88" i="2"/>
  <c r="N72" i="2"/>
  <c r="N77" i="2"/>
  <c r="F103" i="2"/>
  <c r="G103" i="2" s="1"/>
  <c r="H103" i="2" s="1"/>
  <c r="I103" i="2" s="1"/>
  <c r="E122" i="2" s="1"/>
  <c r="N79" i="2"/>
  <c r="H101" i="2"/>
  <c r="I101" i="2" s="1"/>
  <c r="E120" i="2" s="1"/>
  <c r="D88" i="2" l="1"/>
  <c r="C91" i="2" s="1"/>
  <c r="M120" i="2"/>
  <c r="Q120" i="2"/>
  <c r="Q121" i="2"/>
  <c r="M121" i="2"/>
  <c r="Q122" i="2"/>
  <c r="M122" i="2"/>
  <c r="Q123" i="2"/>
  <c r="L89" i="2"/>
  <c r="L88" i="2"/>
  <c r="L91" i="2" l="1"/>
</calcChain>
</file>

<file path=xl/comments1.xml><?xml version="1.0" encoding="utf-8"?>
<comments xmlns="http://schemas.openxmlformats.org/spreadsheetml/2006/main">
  <authors>
    <author>dnyabuti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dnyabuti:</t>
        </r>
        <r>
          <rPr>
            <sz val="9"/>
            <color indexed="81"/>
            <rFont val="Tahoma"/>
            <family val="2"/>
          </rPr>
          <t xml:space="preserve">
Enter values for the first run-off triangle starting with this cell </t>
        </r>
      </text>
    </comment>
  </commentList>
</comments>
</file>

<file path=xl/sharedStrings.xml><?xml version="1.0" encoding="utf-8"?>
<sst xmlns="http://schemas.openxmlformats.org/spreadsheetml/2006/main" count="102" uniqueCount="64">
  <si>
    <t xml:space="preserve">n = </t>
  </si>
  <si>
    <t>Paid</t>
  </si>
  <si>
    <t>Incurred</t>
  </si>
  <si>
    <t>SAMPLE ENTRIES</t>
  </si>
  <si>
    <t>THE VALUE OF n MUST BE ENTERED IN CELL 1B:  THE VALUES FOR THE FIRST RUN-OFF TRIANGLE MUST START IN CELL 4B, THEN SKIP TWO ROWS AND ENTER VALUES FOR THE SECOND RUN-OFF TRIANGLE, then run the MCL Macro to generate the results</t>
  </si>
  <si>
    <t>(RUN THE MCL MACRO TO GENERATE RESULTS)</t>
  </si>
  <si>
    <t>LDF:f_p</t>
  </si>
  <si>
    <t>LDF:f_I</t>
  </si>
  <si>
    <t>St Dev_P</t>
  </si>
  <si>
    <t>LDF:s_P</t>
  </si>
  <si>
    <t>St Dev_I</t>
  </si>
  <si>
    <t>LDF:s_I</t>
  </si>
  <si>
    <t>q_s</t>
  </si>
  <si>
    <t>Q</t>
  </si>
  <si>
    <t>1/Q</t>
  </si>
  <si>
    <t>rho(I,s)</t>
  </si>
  <si>
    <t>rho(P,s)</t>
  </si>
  <si>
    <t>?(P,s)^2</t>
  </si>
  <si>
    <t>?(I,s)^2</t>
  </si>
  <si>
    <t>Res(P(i,t))</t>
  </si>
  <si>
    <t>Res(I(i,t))</t>
  </si>
  <si>
    <t>Res(Q-1(i,s)) I/P</t>
  </si>
  <si>
    <t>Res(Q(i,s)) P/I</t>
  </si>
  <si>
    <t>Res(P(i,t)) -&gt; Res(Q-1(i,s)) I/P</t>
  </si>
  <si>
    <t>x</t>
  </si>
  <si>
    <t>y</t>
  </si>
  <si>
    <t>Res(Q(i,t))P/I -&gt; Res(I(i,t))</t>
  </si>
  <si>
    <t>Corr</t>
  </si>
  <si>
    <t>Slope(origin)</t>
  </si>
  <si>
    <t>Revised Estimate f_P</t>
  </si>
  <si>
    <t>Revised Estimate f_I</t>
  </si>
  <si>
    <t>ESTIMATES</t>
  </si>
  <si>
    <t>Estimates_Paid</t>
  </si>
  <si>
    <t>Estimates_Incurred</t>
  </si>
  <si>
    <t>LDF</t>
  </si>
  <si>
    <t>StdDev</t>
  </si>
  <si>
    <t>LDF: s</t>
  </si>
  <si>
    <t>P/I(j)</t>
  </si>
  <si>
    <t>P/I</t>
  </si>
  <si>
    <t>I/P</t>
  </si>
  <si>
    <t>rho(s)</t>
  </si>
  <si>
    <t>Correlation</t>
  </si>
  <si>
    <t>Slope</t>
  </si>
  <si>
    <t>X</t>
  </si>
  <si>
    <t>Y</t>
  </si>
  <si>
    <t>Average</t>
  </si>
  <si>
    <t>X-mx</t>
  </si>
  <si>
    <t>Y-my</t>
  </si>
  <si>
    <t>Covariance</t>
  </si>
  <si>
    <t>Variance</t>
  </si>
  <si>
    <t>MCL Paid</t>
  </si>
  <si>
    <t>MCL Incurred</t>
  </si>
  <si>
    <t>CL Paid</t>
  </si>
  <si>
    <t>CL Incurred</t>
  </si>
  <si>
    <t>Year</t>
  </si>
  <si>
    <t>Ultimate</t>
  </si>
  <si>
    <t>CL Incured</t>
  </si>
  <si>
    <t>MCL Incured</t>
  </si>
  <si>
    <t>Last known</t>
  </si>
  <si>
    <t>Reserve</t>
  </si>
  <si>
    <t>&lt;- show paid/incured residual plot (x axis: P/I ratio, y axis: factor)</t>
  </si>
  <si>
    <t>CL P/I</t>
  </si>
  <si>
    <t>MCL P/I</t>
  </si>
  <si>
    <t>sigma(LDF)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</si>
</sst>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5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0" fontId="2" fillId="2" borderId="0" xfId="0" applyNumberFormat="1" applyFont="1" applyFill="1" applyAlignment="1">
      <alignment horizontal="right"/>
    </xf>
    <xf numFmtId="0" fontId="2" fillId="2" borderId="0" xfId="0" applyNumberFormat="1" applyFont="1" applyFill="1"/>
    <xf numFmtId="0" fontId="0" fillId="0" borderId="0" xfId="0" applyNumberFormat="1"/>
    <xf numFmtId="0" fontId="0" fillId="0" borderId="1" xfId="0" applyNumberFormat="1" applyBorder="1"/>
    <xf numFmtId="0" fontId="0" fillId="0" borderId="2" xfId="0" applyNumberFormat="1" applyBorder="1"/>
    <xf numFmtId="0" fontId="0" fillId="0" borderId="0" xfId="0" applyNumberFormat="1" applyFill="1" applyBorder="1"/>
    <xf numFmtId="0" fontId="0" fillId="3" borderId="0" xfId="0" applyNumberFormat="1" applyFill="1"/>
    <xf numFmtId="0" fontId="0" fillId="0" borderId="0" xfId="0" applyNumberFormat="1" applyFill="1"/>
    <xf numFmtId="0" fontId="0" fillId="0" borderId="0" xfId="0" applyNumberFormat="1" applyBorder="1"/>
    <xf numFmtId="0" fontId="0" fillId="3" borderId="0" xfId="0" applyFill="1"/>
    <xf numFmtId="0" fontId="7" fillId="5" borderId="0" xfId="1" applyNumberFormat="1"/>
    <xf numFmtId="0" fontId="0" fillId="0" borderId="0" xfId="0" applyBorder="1"/>
    <xf numFmtId="164" fontId="0" fillId="0" borderId="0" xfId="0" applyNumberFormat="1"/>
    <xf numFmtId="0" fontId="1" fillId="4" borderId="0" xfId="0" applyFont="1" applyFill="1"/>
    <xf numFmtId="0" fontId="0" fillId="4" borderId="0" xfId="0" applyFill="1"/>
    <xf numFmtId="1" fontId="0" fillId="0" borderId="0" xfId="0" applyNumberFormat="1"/>
    <xf numFmtId="0" fontId="0" fillId="0" borderId="0" xfId="0" quotePrefix="1"/>
    <xf numFmtId="9" fontId="0" fillId="0" borderId="0" xfId="2" applyNumberFormat="1" applyFont="1"/>
    <xf numFmtId="164" fontId="0" fillId="0" borderId="0" xfId="0" applyNumberFormat="1" applyFill="1"/>
  </cellXfs>
  <cellStyles count="3">
    <cellStyle name="Jó" xfId="1" builtinId="26"/>
    <cellStyle name="Normál" xfId="0" builtinId="0"/>
    <cellStyle name="Százalék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38125802310652E-2"/>
          <c:y val="7.4285714285714288E-2"/>
          <c:w val="0.78048780487804881"/>
          <c:h val="0.854285714285714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Sheet2!$K$116</c:f>
              <c:strCache>
                <c:ptCount val="1"/>
                <c:pt idx="0">
                  <c:v>CL Paid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Sheet2!$K$117:$K$123</c:f>
              <c:numCache>
                <c:formatCode>0</c:formatCode>
                <c:ptCount val="7"/>
                <c:pt idx="0">
                  <c:v>0</c:v>
                </c:pt>
                <c:pt idx="1">
                  <c:v>32.393910561370376</c:v>
                </c:pt>
                <c:pt idx="2">
                  <c:v>158.1808705972453</c:v>
                </c:pt>
                <c:pt idx="3">
                  <c:v>331.60891026036643</c:v>
                </c:pt>
                <c:pt idx="4">
                  <c:v>407.60063777398864</c:v>
                </c:pt>
                <c:pt idx="5">
                  <c:v>924.0859565780338</c:v>
                </c:pt>
                <c:pt idx="6">
                  <c:v>4084.340220605437</c:v>
                </c:pt>
              </c:numCache>
            </c:numRef>
          </c:val>
        </c:ser>
        <c:ser>
          <c:idx val="1"/>
          <c:order val="1"/>
          <c:tx>
            <c:strRef>
              <c:f>Sheet2!$L$116</c:f>
              <c:strCache>
                <c:ptCount val="1"/>
                <c:pt idx="0">
                  <c:v>CL Incured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Sheet2!$L$117:$L$123</c:f>
              <c:numCache>
                <c:formatCode>0</c:formatCode>
                <c:ptCount val="7"/>
                <c:pt idx="0">
                  <c:v>0</c:v>
                </c:pt>
                <c:pt idx="1">
                  <c:v>-8.9972502291475394</c:v>
                </c:pt>
                <c:pt idx="2">
                  <c:v>-62.485952598069161</c:v>
                </c:pt>
                <c:pt idx="3">
                  <c:v>-15.63679876027436</c:v>
                </c:pt>
                <c:pt idx="4">
                  <c:v>-12.982447143577701</c:v>
                </c:pt>
                <c:pt idx="5">
                  <c:v>70.118116417678721</c:v>
                </c:pt>
                <c:pt idx="6">
                  <c:v>3406.8382157146279</c:v>
                </c:pt>
              </c:numCache>
            </c:numRef>
          </c:val>
        </c:ser>
        <c:ser>
          <c:idx val="2"/>
          <c:order val="2"/>
          <c:tx>
            <c:strRef>
              <c:f>Sheet2!$M$116</c:f>
              <c:strCache>
                <c:ptCount val="1"/>
                <c:pt idx="0">
                  <c:v>MCL Paid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Sheet2!$M$117:$M$123</c:f>
              <c:numCache>
                <c:formatCode>0</c:formatCode>
                <c:ptCount val="7"/>
                <c:pt idx="0">
                  <c:v>0</c:v>
                </c:pt>
                <c:pt idx="1">
                  <c:v>32.393910561370376</c:v>
                </c:pt>
                <c:pt idx="2">
                  <c:v>142.55861478686165</c:v>
                </c:pt>
                <c:pt idx="3">
                  <c:v>306.7646588848902</c:v>
                </c:pt>
                <c:pt idx="4">
                  <c:v>363.63590121845755</c:v>
                </c:pt>
                <c:pt idx="5">
                  <c:v>720.99116408418286</c:v>
                </c:pt>
                <c:pt idx="6">
                  <c:v>4632.183173604727</c:v>
                </c:pt>
              </c:numCache>
            </c:numRef>
          </c:val>
        </c:ser>
        <c:ser>
          <c:idx val="3"/>
          <c:order val="3"/>
          <c:tx>
            <c:strRef>
              <c:f>Sheet2!$N$116</c:f>
              <c:strCache>
                <c:ptCount val="1"/>
                <c:pt idx="0">
                  <c:v>MCL Incured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Sheet2!$N$117:$N$123</c:f>
              <c:numCache>
                <c:formatCode>0</c:formatCode>
                <c:ptCount val="7"/>
                <c:pt idx="0">
                  <c:v>0</c:v>
                </c:pt>
                <c:pt idx="1">
                  <c:v>-8.9972502291475394</c:v>
                </c:pt>
                <c:pt idx="2">
                  <c:v>-42.836196337221736</c:v>
                </c:pt>
                <c:pt idx="3">
                  <c:v>12.250434910626609</c:v>
                </c:pt>
                <c:pt idx="4">
                  <c:v>42.739834281574986</c:v>
                </c:pt>
                <c:pt idx="5">
                  <c:v>200.78834966536488</c:v>
                </c:pt>
                <c:pt idx="6">
                  <c:v>3163.006364892738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333696"/>
        <c:axId val="84335232"/>
      </c:barChart>
      <c:catAx>
        <c:axId val="8433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8433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4335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843336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034659820282412"/>
          <c:y val="0.38"/>
          <c:w val="0.11938382541720154"/>
          <c:h val="0.242857142857142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2182284980745E-2"/>
          <c:y val="7.4285714285714288E-2"/>
          <c:w val="0.81258023106546851"/>
          <c:h val="0.797142857142857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Sheet2!$P$116</c:f>
              <c:strCache>
                <c:ptCount val="1"/>
                <c:pt idx="0">
                  <c:v>CL P/I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Sheet2!$P$117:$P$123</c:f>
              <c:numCache>
                <c:formatCode>0%</c:formatCode>
                <c:ptCount val="7"/>
                <c:pt idx="0">
                  <c:v>0.98022079116835326</c:v>
                </c:pt>
                <c:pt idx="1">
                  <c:v>0.97357514660646605</c:v>
                </c:pt>
                <c:pt idx="2">
                  <c:v>1.0154243384313943</c:v>
                </c:pt>
                <c:pt idx="3">
                  <c:v>1.0090177005844938</c:v>
                </c:pt>
                <c:pt idx="4">
                  <c:v>1.044757656394472</c:v>
                </c:pt>
                <c:pt idx="5">
                  <c:v>1.1023136182400108</c:v>
                </c:pt>
                <c:pt idx="6">
                  <c:v>0.72706819893396823</c:v>
                </c:pt>
              </c:numCache>
            </c:numRef>
          </c:val>
        </c:ser>
        <c:ser>
          <c:idx val="1"/>
          <c:order val="1"/>
          <c:tx>
            <c:strRef>
              <c:f>Sheet2!$Q$116</c:f>
              <c:strCache>
                <c:ptCount val="1"/>
                <c:pt idx="0">
                  <c:v>MCL P/I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Sheet2!$Q$117:$Q$123</c:f>
              <c:numCache>
                <c:formatCode>0%</c:formatCode>
                <c:ptCount val="7"/>
                <c:pt idx="0">
                  <c:v>0.98022079116835326</c:v>
                </c:pt>
                <c:pt idx="1">
                  <c:v>0.97357514660646605</c:v>
                </c:pt>
                <c:pt idx="2">
                  <c:v>1.0076925779290682</c:v>
                </c:pt>
                <c:pt idx="3">
                  <c:v>1.0004085345568652</c:v>
                </c:pt>
                <c:pt idx="4">
                  <c:v>1.0238819775707324</c:v>
                </c:pt>
                <c:pt idx="5">
                  <c:v>1.0269608249807787</c:v>
                </c:pt>
                <c:pt idx="6">
                  <c:v>0.81566010776000375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91392"/>
        <c:axId val="85697280"/>
      </c:barChart>
      <c:catAx>
        <c:axId val="8569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8569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697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85691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372272143774068"/>
          <c:y val="0.41142857142857142"/>
          <c:w val="8.6007702182284984E-2"/>
          <c:h val="0.12285714285714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124</xdr:row>
      <xdr:rowOff>38100</xdr:rowOff>
    </xdr:from>
    <xdr:to>
      <xdr:col>15</xdr:col>
      <xdr:colOff>85725</xdr:colOff>
      <xdr:row>141</xdr:row>
      <xdr:rowOff>133350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542925</xdr:colOff>
      <xdr:row>124</xdr:row>
      <xdr:rowOff>9525</xdr:rowOff>
    </xdr:from>
    <xdr:to>
      <xdr:col>28</xdr:col>
      <xdr:colOff>38100</xdr:colOff>
      <xdr:row>141</xdr:row>
      <xdr:rowOff>104775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86"/>
  <sheetViews>
    <sheetView topLeftCell="A145" workbookViewId="0">
      <selection activeCell="C167" sqref="C167"/>
    </sheetView>
  </sheetViews>
  <sheetFormatPr defaultRowHeight="15" x14ac:dyDescent="0.25"/>
  <cols>
    <col min="5" max="5" width="12" bestFit="1" customWidth="1"/>
  </cols>
  <sheetData>
    <row r="1" spans="1:9" x14ac:dyDescent="0.25">
      <c r="A1" s="1" t="s">
        <v>0</v>
      </c>
      <c r="B1" s="2">
        <v>7</v>
      </c>
      <c r="C1" s="3"/>
      <c r="D1" s="3" t="s">
        <v>4</v>
      </c>
      <c r="E1" s="3"/>
      <c r="F1" s="3"/>
      <c r="G1" s="3"/>
      <c r="H1" s="3"/>
      <c r="I1" s="3"/>
    </row>
    <row r="2" spans="1:9" x14ac:dyDescent="0.25">
      <c r="A2" s="3" t="s">
        <v>1</v>
      </c>
      <c r="B2" s="3"/>
      <c r="C2" s="3"/>
      <c r="D2" s="11" t="s">
        <v>3</v>
      </c>
      <c r="E2" s="11"/>
      <c r="F2" s="3" t="s">
        <v>5</v>
      </c>
      <c r="G2" s="3"/>
      <c r="H2" s="3"/>
      <c r="I2" s="3"/>
    </row>
    <row r="3" spans="1:9" ht="15.75" thickBot="1" x14ac:dyDescent="0.3">
      <c r="A3" s="3"/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3"/>
    </row>
    <row r="4" spans="1:9" ht="15.75" thickTop="1" x14ac:dyDescent="0.25">
      <c r="A4" s="5">
        <v>1</v>
      </c>
      <c r="B4" s="3">
        <v>576</v>
      </c>
      <c r="C4" s="3">
        <v>1804</v>
      </c>
      <c r="D4" s="3">
        <v>1970</v>
      </c>
      <c r="E4" s="3">
        <v>2024</v>
      </c>
      <c r="F4" s="3">
        <v>2074</v>
      </c>
      <c r="G4" s="3">
        <v>2102</v>
      </c>
      <c r="H4" s="3">
        <v>2131</v>
      </c>
      <c r="I4" s="3"/>
    </row>
    <row r="5" spans="1:9" x14ac:dyDescent="0.25">
      <c r="A5" s="5">
        <v>2</v>
      </c>
      <c r="B5" s="3">
        <v>866</v>
      </c>
      <c r="C5" s="3">
        <v>1948</v>
      </c>
      <c r="D5" s="3">
        <v>2162</v>
      </c>
      <c r="E5" s="3">
        <v>2232</v>
      </c>
      <c r="F5" s="3">
        <v>2284</v>
      </c>
      <c r="G5" s="3">
        <v>2348</v>
      </c>
      <c r="H5" s="3"/>
      <c r="I5" s="3"/>
    </row>
    <row r="6" spans="1:9" x14ac:dyDescent="0.25">
      <c r="A6" s="5">
        <v>3</v>
      </c>
      <c r="B6" s="3">
        <v>1412</v>
      </c>
      <c r="C6" s="3">
        <v>3758</v>
      </c>
      <c r="D6" s="3">
        <v>4252</v>
      </c>
      <c r="E6" s="3">
        <v>4416</v>
      </c>
      <c r="F6" s="3">
        <v>4494</v>
      </c>
      <c r="G6" s="6"/>
      <c r="H6" s="3"/>
      <c r="I6" s="3"/>
    </row>
    <row r="7" spans="1:9" x14ac:dyDescent="0.25">
      <c r="A7" s="5">
        <v>4</v>
      </c>
      <c r="B7" s="3">
        <v>2286</v>
      </c>
      <c r="C7" s="3">
        <v>5292</v>
      </c>
      <c r="D7" s="3">
        <v>5724</v>
      </c>
      <c r="E7" s="3">
        <v>5850</v>
      </c>
      <c r="F7" s="6"/>
      <c r="G7" s="3"/>
      <c r="H7" s="3"/>
      <c r="I7" s="3"/>
    </row>
    <row r="8" spans="1:9" x14ac:dyDescent="0.25">
      <c r="A8" s="5">
        <v>5</v>
      </c>
      <c r="B8" s="3">
        <v>1868</v>
      </c>
      <c r="C8" s="3">
        <v>3778</v>
      </c>
      <c r="D8" s="3">
        <v>4648</v>
      </c>
      <c r="E8" s="6"/>
      <c r="F8" s="3"/>
      <c r="G8" s="3"/>
      <c r="H8" s="3"/>
      <c r="I8" s="3"/>
    </row>
    <row r="9" spans="1:9" x14ac:dyDescent="0.25">
      <c r="A9" s="5">
        <v>6</v>
      </c>
      <c r="B9" s="3">
        <v>1442</v>
      </c>
      <c r="C9" s="3">
        <v>4010</v>
      </c>
      <c r="D9" s="6"/>
      <c r="E9" s="3"/>
      <c r="F9" s="3"/>
      <c r="G9" s="3"/>
      <c r="H9" s="3"/>
      <c r="I9" s="3"/>
    </row>
    <row r="10" spans="1:9" x14ac:dyDescent="0.25">
      <c r="A10" s="5">
        <v>7</v>
      </c>
      <c r="B10" s="3">
        <v>2044</v>
      </c>
      <c r="C10" s="3"/>
      <c r="D10" s="3"/>
      <c r="E10" s="3"/>
      <c r="F10" s="3"/>
      <c r="G10" s="3"/>
      <c r="H10" s="3"/>
      <c r="I10" s="3"/>
    </row>
    <row r="11" spans="1:9" s="10" customFormat="1" x14ac:dyDescent="0.25">
      <c r="A11" s="7" t="s">
        <v>2</v>
      </c>
      <c r="B11" s="7"/>
      <c r="C11" s="7"/>
      <c r="D11" s="7"/>
      <c r="E11" s="7"/>
      <c r="F11" s="7"/>
      <c r="G11" s="7"/>
      <c r="H11" s="7"/>
      <c r="I11" s="7"/>
    </row>
    <row r="12" spans="1:9" ht="15.75" thickBot="1" x14ac:dyDescent="0.3">
      <c r="A12" s="3"/>
      <c r="B12" s="4">
        <v>1</v>
      </c>
      <c r="C12" s="4">
        <v>2</v>
      </c>
      <c r="D12" s="4">
        <v>3</v>
      </c>
      <c r="E12" s="4">
        <v>4</v>
      </c>
      <c r="F12" s="4">
        <v>5</v>
      </c>
      <c r="G12" s="4">
        <v>6</v>
      </c>
      <c r="H12" s="4">
        <v>7</v>
      </c>
      <c r="I12" s="3"/>
    </row>
    <row r="13" spans="1:9" ht="15.75" thickTop="1" x14ac:dyDescent="0.25">
      <c r="A13" s="5">
        <v>1</v>
      </c>
      <c r="B13" s="7">
        <v>978</v>
      </c>
      <c r="C13" s="3">
        <v>2104</v>
      </c>
      <c r="D13" s="3">
        <v>2134</v>
      </c>
      <c r="E13" s="3">
        <v>2144</v>
      </c>
      <c r="F13" s="3">
        <v>2174</v>
      </c>
      <c r="G13" s="3">
        <v>2182</v>
      </c>
      <c r="H13" s="3">
        <v>2174</v>
      </c>
      <c r="I13" s="3"/>
    </row>
    <row r="14" spans="1:9" x14ac:dyDescent="0.25">
      <c r="A14" s="5">
        <v>2</v>
      </c>
      <c r="B14" s="3">
        <v>1844</v>
      </c>
      <c r="C14" s="3">
        <v>2552</v>
      </c>
      <c r="D14" s="3">
        <v>2466</v>
      </c>
      <c r="E14" s="3">
        <v>2480</v>
      </c>
      <c r="F14" s="3">
        <v>2508</v>
      </c>
      <c r="G14" s="3">
        <v>2454</v>
      </c>
      <c r="H14" s="3"/>
      <c r="I14" s="3"/>
    </row>
    <row r="15" spans="1:9" x14ac:dyDescent="0.25">
      <c r="A15" s="5">
        <v>3</v>
      </c>
      <c r="B15" s="3">
        <v>2904</v>
      </c>
      <c r="C15" s="3">
        <v>4354</v>
      </c>
      <c r="D15" s="3">
        <v>4698</v>
      </c>
      <c r="E15" s="3">
        <v>4600</v>
      </c>
      <c r="F15" s="3">
        <v>4644</v>
      </c>
      <c r="G15" s="6"/>
      <c r="H15" s="3"/>
      <c r="I15" s="3"/>
    </row>
    <row r="16" spans="1:9" x14ac:dyDescent="0.25">
      <c r="A16" s="5">
        <v>4</v>
      </c>
      <c r="B16" s="3">
        <v>3502</v>
      </c>
      <c r="C16" s="3">
        <v>5958</v>
      </c>
      <c r="D16" s="3">
        <v>6070</v>
      </c>
      <c r="E16" s="3">
        <v>6142</v>
      </c>
      <c r="F16" s="6"/>
      <c r="G16" s="3"/>
      <c r="H16" s="8"/>
      <c r="I16" s="3"/>
    </row>
    <row r="17" spans="1:9" x14ac:dyDescent="0.25">
      <c r="A17" s="5">
        <v>5</v>
      </c>
      <c r="B17" s="3">
        <v>2812</v>
      </c>
      <c r="C17" s="3">
        <v>4882</v>
      </c>
      <c r="D17" s="3">
        <v>4852</v>
      </c>
      <c r="E17" s="6"/>
      <c r="F17" s="3"/>
      <c r="G17" s="3"/>
      <c r="H17" s="8"/>
      <c r="I17" s="3"/>
    </row>
    <row r="18" spans="1:9" x14ac:dyDescent="0.25">
      <c r="A18" s="5">
        <v>6</v>
      </c>
      <c r="B18" s="3">
        <v>2642</v>
      </c>
      <c r="C18" s="3">
        <v>4406</v>
      </c>
      <c r="D18" s="6"/>
      <c r="E18" s="9"/>
      <c r="F18" s="3"/>
      <c r="G18" s="3"/>
      <c r="H18" s="8"/>
      <c r="I18" s="3"/>
    </row>
    <row r="19" spans="1:9" x14ac:dyDescent="0.25">
      <c r="A19" s="5">
        <v>7</v>
      </c>
      <c r="B19" s="3">
        <v>5022</v>
      </c>
      <c r="C19" s="3"/>
      <c r="D19" s="9"/>
      <c r="E19" s="3"/>
      <c r="F19" s="3"/>
      <c r="G19" s="8"/>
      <c r="H19" s="8"/>
      <c r="I19" s="3"/>
    </row>
    <row r="21" spans="1:9" x14ac:dyDescent="0.25">
      <c r="A21" t="s">
        <v>6</v>
      </c>
      <c r="B21">
        <v>2.4366863905325444</v>
      </c>
      <c r="C21">
        <v>1.13124246079614</v>
      </c>
      <c r="D21">
        <v>1.0293450524525092</v>
      </c>
      <c r="E21">
        <v>1.0207564575645756</v>
      </c>
      <c r="F21">
        <v>1.0211106011932078</v>
      </c>
      <c r="G21">
        <v>1.0137963843958135</v>
      </c>
    </row>
    <row r="22" spans="1:9" x14ac:dyDescent="0.25">
      <c r="A22" t="s">
        <v>7</v>
      </c>
      <c r="B22">
        <v>1.6520909957771421</v>
      </c>
      <c r="C22">
        <v>1.018639798488665</v>
      </c>
      <c r="D22">
        <v>0.99986985944820406</v>
      </c>
      <c r="E22">
        <v>1.0110581092801387</v>
      </c>
      <c r="F22">
        <v>0.99017513882955999</v>
      </c>
      <c r="G22">
        <v>0.99633363886342807</v>
      </c>
    </row>
    <row r="24" spans="1:9" x14ac:dyDescent="0.25">
      <c r="A24" t="s">
        <v>8</v>
      </c>
    </row>
    <row r="25" spans="1:9" x14ac:dyDescent="0.25">
      <c r="B25">
        <v>278.42904664091293</v>
      </c>
      <c r="C25">
        <v>2.7755962458597363</v>
      </c>
      <c r="D25">
        <v>7.3676245921015767E-3</v>
      </c>
      <c r="E25">
        <v>3.1533103150264336E-2</v>
      </c>
      <c r="F25">
        <v>0.12011345286252244</v>
      </c>
    </row>
    <row r="26" spans="1:9" x14ac:dyDescent="0.25">
      <c r="B26">
        <v>30.368641157255659</v>
      </c>
      <c r="C26">
        <v>0.89095571448836153</v>
      </c>
      <c r="D26">
        <v>1.9880245785720004E-2</v>
      </c>
      <c r="E26">
        <v>1.4411691700539592E-2</v>
      </c>
      <c r="F26">
        <v>0.10906974660107858</v>
      </c>
    </row>
    <row r="27" spans="1:9" x14ac:dyDescent="0.25">
      <c r="B27">
        <v>71.347031698864583</v>
      </c>
      <c r="C27">
        <v>1.6642250430478351E-4</v>
      </c>
      <c r="D27">
        <v>0.36185038463653835</v>
      </c>
      <c r="E27">
        <v>4.22576344927523E-2</v>
      </c>
    </row>
    <row r="28" spans="1:9" x14ac:dyDescent="0.25">
      <c r="B28">
        <v>33.872029580560778</v>
      </c>
      <c r="C28">
        <v>13.024315960336985</v>
      </c>
      <c r="D28">
        <v>0.30775184772156311</v>
      </c>
    </row>
    <row r="29" spans="1:9" x14ac:dyDescent="0.25">
      <c r="B29">
        <v>320.48093554447178</v>
      </c>
      <c r="C29">
        <v>37.056692143543358</v>
      </c>
    </row>
    <row r="30" spans="1:9" x14ac:dyDescent="0.25">
      <c r="B30">
        <v>170.81271011880506</v>
      </c>
    </row>
    <row r="32" spans="1:9" x14ac:dyDescent="0.25">
      <c r="A32" t="s">
        <v>9</v>
      </c>
    </row>
    <row r="33" spans="1:8" x14ac:dyDescent="0.25">
      <c r="B33">
        <v>13.455930995221927</v>
      </c>
      <c r="C33">
        <v>3.6656420476750298</v>
      </c>
      <c r="D33">
        <v>0.4819578483421979</v>
      </c>
      <c r="E33">
        <v>0.21000289205574793</v>
      </c>
      <c r="F33">
        <v>0.47873082150995983</v>
      </c>
    </row>
    <row r="35" spans="1:8" x14ac:dyDescent="0.25">
      <c r="A35" t="s">
        <v>10</v>
      </c>
    </row>
    <row r="36" spans="1:8" x14ac:dyDescent="0.25">
      <c r="B36">
        <v>243.75557363084104</v>
      </c>
      <c r="C36">
        <v>4.0386897189168443E-2</v>
      </c>
      <c r="D36">
        <v>4.9499309800541638E-2</v>
      </c>
      <c r="E36">
        <v>1.8461700740256836E-2</v>
      </c>
      <c r="F36">
        <v>0.3964882492921819</v>
      </c>
    </row>
    <row r="37" spans="1:8" x14ac:dyDescent="0.25">
      <c r="B37">
        <v>132.58488850796161</v>
      </c>
      <c r="C37">
        <v>6.9908366701128317</v>
      </c>
      <c r="D37">
        <v>8.316664181000151E-2</v>
      </c>
      <c r="E37">
        <v>1.3372908199152299E-4</v>
      </c>
      <c r="F37">
        <v>0.34368638515199307</v>
      </c>
    </row>
    <row r="38" spans="1:8" x14ac:dyDescent="0.25">
      <c r="B38">
        <v>67.784113967362529</v>
      </c>
      <c r="C38">
        <v>15.867267755138739</v>
      </c>
      <c r="D38">
        <v>2.0188461790386922</v>
      </c>
      <c r="E38">
        <v>1.0252140482038574E-2</v>
      </c>
    </row>
    <row r="39" spans="1:8" x14ac:dyDescent="0.25">
      <c r="B39">
        <v>8.4848500454767333</v>
      </c>
      <c r="C39">
        <v>1.4959519769347718E-4</v>
      </c>
      <c r="D39">
        <v>0.87287928821943739</v>
      </c>
    </row>
    <row r="40" spans="1:8" x14ac:dyDescent="0.25">
      <c r="B40">
        <v>19.860312609381708</v>
      </c>
      <c r="C40">
        <v>2.9989508574142163</v>
      </c>
    </row>
    <row r="41" spans="1:8" x14ac:dyDescent="0.25">
      <c r="B41">
        <v>0.64172185556730055</v>
      </c>
    </row>
    <row r="43" spans="1:8" x14ac:dyDescent="0.25">
      <c r="A43" t="s">
        <v>11</v>
      </c>
    </row>
    <row r="44" spans="1:8" x14ac:dyDescent="0.25">
      <c r="B44">
        <v>9.7273990420522072</v>
      </c>
      <c r="C44">
        <v>2.5444838265870668</v>
      </c>
      <c r="D44">
        <v>1.0040570068259194</v>
      </c>
      <c r="E44">
        <v>0.12009906391035471</v>
      </c>
      <c r="F44">
        <v>0.86033402492530475</v>
      </c>
    </row>
    <row r="46" spans="1:8" x14ac:dyDescent="0.25">
      <c r="A46" t="s">
        <v>12</v>
      </c>
    </row>
    <row r="47" spans="1:8" x14ac:dyDescent="0.25">
      <c r="B47">
        <v>0.53258221680876983</v>
      </c>
      <c r="C47">
        <v>0.84886213720316628</v>
      </c>
      <c r="D47">
        <v>0.92759643916913948</v>
      </c>
      <c r="E47">
        <v>0.94507353898216839</v>
      </c>
      <c r="F47">
        <v>0.94917435127600258</v>
      </c>
      <c r="G47">
        <v>0.95987920621225198</v>
      </c>
      <c r="H47">
        <v>0.98022079116835326</v>
      </c>
    </row>
    <row r="49" spans="1:18" x14ac:dyDescent="0.25">
      <c r="A49" t="s">
        <v>13</v>
      </c>
      <c r="K49" t="s">
        <v>14</v>
      </c>
    </row>
    <row r="50" spans="1:18" x14ac:dyDescent="0.25">
      <c r="B50">
        <v>0.58895705521472397</v>
      </c>
      <c r="C50">
        <v>0.85741444866920147</v>
      </c>
      <c r="D50">
        <v>0.92314901593252108</v>
      </c>
      <c r="E50">
        <v>0.94402985074626866</v>
      </c>
      <c r="F50">
        <v>0.95400183992640297</v>
      </c>
      <c r="G50">
        <v>0.9633363886342805</v>
      </c>
      <c r="H50">
        <v>0.98022079116835326</v>
      </c>
      <c r="L50">
        <v>1.6979166666666665</v>
      </c>
      <c r="M50">
        <v>1.1662971175166297</v>
      </c>
      <c r="N50">
        <v>1.0832487309644669</v>
      </c>
      <c r="O50">
        <v>1.0592885375494072</v>
      </c>
      <c r="P50">
        <v>1.0482160077145612</v>
      </c>
      <c r="Q50">
        <v>1.0380589914367269</v>
      </c>
      <c r="R50">
        <v>1.0201783200375412</v>
      </c>
    </row>
    <row r="51" spans="1:18" x14ac:dyDescent="0.25">
      <c r="B51">
        <v>0.46963123644251625</v>
      </c>
      <c r="C51">
        <v>0.76332288401253923</v>
      </c>
      <c r="D51">
        <v>0.87672343876723435</v>
      </c>
      <c r="E51">
        <v>0.9</v>
      </c>
      <c r="F51">
        <v>0.91068580542264754</v>
      </c>
      <c r="G51">
        <v>0.9568052159739201</v>
      </c>
      <c r="L51">
        <v>2.1293302540415704</v>
      </c>
      <c r="M51">
        <v>1.3100616016427105</v>
      </c>
      <c r="N51">
        <v>1.1406105457909343</v>
      </c>
      <c r="O51">
        <v>1.1111111111111112</v>
      </c>
      <c r="P51">
        <v>1.0980735551663747</v>
      </c>
      <c r="Q51">
        <v>1.045144804088586</v>
      </c>
    </row>
    <row r="52" spans="1:18" x14ac:dyDescent="0.25">
      <c r="B52">
        <v>0.48622589531680444</v>
      </c>
      <c r="C52">
        <v>0.86311437758383092</v>
      </c>
      <c r="D52">
        <v>0.90506598552575568</v>
      </c>
      <c r="E52">
        <v>0.96</v>
      </c>
      <c r="F52">
        <v>0.96770025839793283</v>
      </c>
      <c r="L52">
        <v>2.0566572237960337</v>
      </c>
      <c r="M52">
        <v>1.1585949973390102</v>
      </c>
      <c r="N52">
        <v>1.1048918156161807</v>
      </c>
      <c r="O52">
        <v>1.0416666666666667</v>
      </c>
      <c r="P52">
        <v>1.0333778371161548</v>
      </c>
    </row>
    <row r="53" spans="1:18" x14ac:dyDescent="0.25">
      <c r="B53">
        <v>0.65276984580239861</v>
      </c>
      <c r="C53">
        <v>0.88821752265861031</v>
      </c>
      <c r="D53">
        <v>0.94299835255354203</v>
      </c>
      <c r="E53">
        <v>0.95245848257896448</v>
      </c>
      <c r="L53">
        <v>1.5319335083114611</v>
      </c>
      <c r="M53">
        <v>1.1258503401360545</v>
      </c>
      <c r="N53">
        <v>1.0604472396925226</v>
      </c>
      <c r="O53">
        <v>1.04991452991453</v>
      </c>
    </row>
    <row r="54" spans="1:18" x14ac:dyDescent="0.25">
      <c r="B54">
        <v>0.66429587482219066</v>
      </c>
      <c r="C54">
        <v>0.77386317083162637</v>
      </c>
      <c r="D54">
        <v>0.95795548227535032</v>
      </c>
      <c r="L54">
        <v>1.5053533190578157</v>
      </c>
      <c r="M54">
        <v>1.2922181048173638</v>
      </c>
      <c r="N54">
        <v>1.0438898450946643</v>
      </c>
    </row>
    <row r="55" spans="1:18" x14ac:dyDescent="0.25">
      <c r="B55">
        <v>0.54579863739591217</v>
      </c>
      <c r="C55">
        <v>0.9101225601452565</v>
      </c>
      <c r="L55">
        <v>1.8321775312066575</v>
      </c>
      <c r="M55">
        <v>1.0987531172069824</v>
      </c>
    </row>
    <row r="56" spans="1:18" x14ac:dyDescent="0.25">
      <c r="B56">
        <v>0.40700915969733176</v>
      </c>
      <c r="L56">
        <v>2.4569471624266144</v>
      </c>
    </row>
    <row r="60" spans="1:18" x14ac:dyDescent="0.25">
      <c r="A60" t="s">
        <v>15</v>
      </c>
    </row>
    <row r="61" spans="1:18" x14ac:dyDescent="0.25">
      <c r="B61">
        <v>3.1082037123808983</v>
      </c>
      <c r="C61">
        <v>0.15389083409100995</v>
      </c>
      <c r="D61">
        <v>4.2209609732938698E-2</v>
      </c>
      <c r="E61">
        <v>2.3354273267717773E-3</v>
      </c>
      <c r="F61">
        <v>5.0664301860024741E-2</v>
      </c>
      <c r="G61">
        <v>2.6079504672817364E-2</v>
      </c>
    </row>
    <row r="62" spans="1:18" x14ac:dyDescent="0.25">
      <c r="B62">
        <v>7.3074510132095849</v>
      </c>
      <c r="C62">
        <v>18.672891710518829</v>
      </c>
      <c r="D62">
        <v>6.3821613109542605</v>
      </c>
      <c r="E62">
        <v>5.038427312615088</v>
      </c>
      <c r="F62">
        <v>3.7152713500597798</v>
      </c>
      <c r="G62">
        <v>2.3188866828072686E-2</v>
      </c>
    </row>
    <row r="63" spans="1:18" x14ac:dyDescent="0.25">
      <c r="B63">
        <v>6.240430406741778</v>
      </c>
      <c r="C63">
        <v>0.88441215345035051</v>
      </c>
      <c r="D63">
        <v>2.3848050617875778</v>
      </c>
      <c r="E63">
        <v>1.0248764971774893</v>
      </c>
      <c r="F63">
        <v>1.5938636859021527</v>
      </c>
    </row>
    <row r="64" spans="1:18" x14ac:dyDescent="0.25">
      <c r="B64">
        <v>50.586621703211769</v>
      </c>
      <c r="C64">
        <v>9.2280266387768997</v>
      </c>
      <c r="D64">
        <v>1.439918940916876</v>
      </c>
      <c r="E64">
        <v>0.33496866122091346</v>
      </c>
    </row>
    <row r="65" spans="1:7" x14ac:dyDescent="0.25">
      <c r="B65">
        <v>48.783947432861176</v>
      </c>
      <c r="C65">
        <v>27.460493079094547</v>
      </c>
      <c r="D65">
        <v>4.4719501098717762</v>
      </c>
    </row>
    <row r="66" spans="1:7" x14ac:dyDescent="0.25">
      <c r="B66">
        <v>0.4614881086259458</v>
      </c>
      <c r="C66">
        <v>16.535010480306866</v>
      </c>
    </row>
    <row r="67" spans="1:7" x14ac:dyDescent="0.25">
      <c r="B67">
        <v>79.189872400353323</v>
      </c>
    </row>
    <row r="69" spans="1:7" x14ac:dyDescent="0.25">
      <c r="A69" t="s">
        <v>16</v>
      </c>
    </row>
    <row r="70" spans="1:7" x14ac:dyDescent="0.25">
      <c r="B70">
        <v>18.605978900464567</v>
      </c>
      <c r="C70">
        <v>0.2490850318601831</v>
      </c>
      <c r="D70">
        <v>5.3139979192290535E-2</v>
      </c>
      <c r="E70">
        <v>2.7698064565011495E-3</v>
      </c>
      <c r="F70">
        <v>5.8946885257228195E-2</v>
      </c>
      <c r="G70">
        <v>2.9382463530504933E-2</v>
      </c>
    </row>
    <row r="71" spans="1:7" x14ac:dyDescent="0.25">
      <c r="B71">
        <v>54.857449919651195</v>
      </c>
      <c r="C71">
        <v>33.949155132970162</v>
      </c>
      <c r="D71">
        <v>8.4603243634533616</v>
      </c>
      <c r="E71">
        <v>6.2678887714365858</v>
      </c>
      <c r="F71">
        <v>4.528245694640713</v>
      </c>
      <c r="G71">
        <v>2.6304062325859016E-2</v>
      </c>
    </row>
    <row r="72" spans="1:7" x14ac:dyDescent="0.25">
      <c r="B72">
        <v>45.248390680468241</v>
      </c>
      <c r="C72">
        <v>1.4220406971077637</v>
      </c>
      <c r="D72">
        <v>3.0623476766197979</v>
      </c>
      <c r="E72">
        <v>1.1952784613249379</v>
      </c>
      <c r="F72">
        <v>1.8281773778851491</v>
      </c>
    </row>
    <row r="73" spans="1:7" x14ac:dyDescent="0.25">
      <c r="B73">
        <v>273.21357291862688</v>
      </c>
      <c r="C73">
        <v>14.418337182387706</v>
      </c>
      <c r="D73">
        <v>1.7746346825208508</v>
      </c>
      <c r="E73">
        <v>0.39375575685003389</v>
      </c>
    </row>
    <row r="74" spans="1:7" x14ac:dyDescent="0.25">
      <c r="B74">
        <v>258.90596802142659</v>
      </c>
      <c r="C74">
        <v>49.245871474612471</v>
      </c>
      <c r="D74">
        <v>5.4254214114619126</v>
      </c>
    </row>
    <row r="75" spans="1:7" x14ac:dyDescent="0.25">
      <c r="B75">
        <v>2.9809503711948517</v>
      </c>
      <c r="C75">
        <v>25.213333561242788</v>
      </c>
    </row>
    <row r="76" spans="1:7" x14ac:dyDescent="0.25">
      <c r="B76">
        <v>685.94949077842887</v>
      </c>
    </row>
    <row r="78" spans="1:7" x14ac:dyDescent="0.25">
      <c r="A78" t="s">
        <v>17</v>
      </c>
    </row>
    <row r="79" spans="1:7" x14ac:dyDescent="0.25">
      <c r="B79">
        <v>14.943012868841976</v>
      </c>
      <c r="C79">
        <v>4.9899463540238802</v>
      </c>
      <c r="D79">
        <v>2.1665564909118</v>
      </c>
      <c r="E79">
        <v>1.6186097734442828</v>
      </c>
      <c r="F79">
        <v>1.7910011108013153</v>
      </c>
      <c r="G79">
        <v>0.23597992680811636</v>
      </c>
    </row>
    <row r="81" spans="1:7" x14ac:dyDescent="0.25">
      <c r="A81" t="s">
        <v>18</v>
      </c>
    </row>
    <row r="82" spans="1:7" x14ac:dyDescent="0.25">
      <c r="B82">
        <v>5.7107794969598862</v>
      </c>
      <c r="C82">
        <v>3.8192859253069416</v>
      </c>
      <c r="D82">
        <v>1.9184007032723527</v>
      </c>
      <c r="E82">
        <v>1.4606628516236801</v>
      </c>
      <c r="F82">
        <v>1.6370399106041913</v>
      </c>
      <c r="G82">
        <v>0.22196479788671458</v>
      </c>
    </row>
    <row r="84" spans="1:7" x14ac:dyDescent="0.25">
      <c r="A84" t="s">
        <v>19</v>
      </c>
    </row>
    <row r="85" spans="1:7" x14ac:dyDescent="0.25">
      <c r="B85">
        <v>1.240062341268747</v>
      </c>
      <c r="C85">
        <v>-0.45449393499898794</v>
      </c>
      <c r="D85">
        <v>-0.17809621413071761</v>
      </c>
      <c r="E85">
        <v>0.84558657658266334</v>
      </c>
      <c r="F85">
        <v>-0.7239431061395909</v>
      </c>
    </row>
    <row r="86" spans="1:7" x14ac:dyDescent="0.25">
      <c r="B86">
        <v>-0.40954245433444925</v>
      </c>
      <c r="C86">
        <v>-0.25750045767865037</v>
      </c>
      <c r="D86">
        <v>0.29255115554379418</v>
      </c>
      <c r="E86">
        <v>0.57165262992072785</v>
      </c>
      <c r="F86">
        <v>0.68985968071265136</v>
      </c>
    </row>
    <row r="87" spans="1:7" x14ac:dyDescent="0.25">
      <c r="B87">
        <v>0.6277319062746155</v>
      </c>
      <c r="C87">
        <v>3.5192974344164696E-3</v>
      </c>
      <c r="D87">
        <v>1.2481174710715912</v>
      </c>
      <c r="E87">
        <v>-0.97887517703123239</v>
      </c>
    </row>
    <row r="88" spans="1:7" x14ac:dyDescent="0.25">
      <c r="B88">
        <v>-0.43252066163268338</v>
      </c>
      <c r="C88">
        <v>-0.98452649500080569</v>
      </c>
      <c r="D88">
        <v>-1.1510422834579761</v>
      </c>
    </row>
    <row r="89" spans="1:7" x14ac:dyDescent="0.25">
      <c r="B89">
        <v>-1.3304156610561526</v>
      </c>
      <c r="C89">
        <v>1.6606697361400364</v>
      </c>
    </row>
    <row r="90" spans="1:7" x14ac:dyDescent="0.25">
      <c r="B90">
        <v>0.97128423635255856</v>
      </c>
    </row>
    <row r="92" spans="1:7" x14ac:dyDescent="0.25">
      <c r="A92" t="s">
        <v>20</v>
      </c>
    </row>
    <row r="93" spans="1:7" x14ac:dyDescent="0.25">
      <c r="B93">
        <v>1.6050203581167251</v>
      </c>
      <c r="C93">
        <v>-7.8980622010297721E-2</v>
      </c>
      <c r="D93">
        <v>0.2215854298979098</v>
      </c>
      <c r="E93">
        <v>1.1313480458679808</v>
      </c>
      <c r="F93">
        <v>0.73189378855641907</v>
      </c>
    </row>
    <row r="94" spans="1:7" x14ac:dyDescent="0.25">
      <c r="B94">
        <v>-1.1837235333107972</v>
      </c>
      <c r="C94">
        <v>-1.0391180363455126</v>
      </c>
      <c r="D94">
        <v>0.2872210142665777</v>
      </c>
      <c r="E94">
        <v>9.6288253463155962E-2</v>
      </c>
      <c r="F94">
        <v>-0.68141872756223232</v>
      </c>
    </row>
    <row r="95" spans="1:7" x14ac:dyDescent="0.25">
      <c r="B95">
        <v>-0.84638358065977615</v>
      </c>
      <c r="C95">
        <v>1.5654939027071226</v>
      </c>
      <c r="D95">
        <v>-1.4151199184082404</v>
      </c>
      <c r="E95">
        <v>-0.84307779673984817</v>
      </c>
    </row>
    <row r="96" spans="1:7" x14ac:dyDescent="0.25">
      <c r="B96">
        <v>0.29945071445198246</v>
      </c>
      <c r="C96">
        <v>4.8068340763223368E-3</v>
      </c>
      <c r="D96">
        <v>0.93050502564193194</v>
      </c>
    </row>
    <row r="97" spans="1:7" x14ac:dyDescent="0.25">
      <c r="B97">
        <v>0.45813799201542571</v>
      </c>
      <c r="C97">
        <v>-0.68058908514704941</v>
      </c>
    </row>
    <row r="98" spans="1:7" x14ac:dyDescent="0.25">
      <c r="B98">
        <v>8.2352480186498142E-2</v>
      </c>
    </row>
    <row r="100" spans="1:7" x14ac:dyDescent="0.25">
      <c r="A100" t="s">
        <v>21</v>
      </c>
    </row>
    <row r="101" spans="1:7" x14ac:dyDescent="0.25">
      <c r="B101">
        <v>-0.28866098657010791</v>
      </c>
      <c r="C101">
        <v>-0.10001794763896632</v>
      </c>
      <c r="D101">
        <v>0.10639976596017602</v>
      </c>
      <c r="E101">
        <v>3.2514909775216434E-2</v>
      </c>
      <c r="F101">
        <v>-0.13556094129678459</v>
      </c>
      <c r="G101">
        <v>-0.72638863526229536</v>
      </c>
    </row>
    <row r="102" spans="1:7" x14ac:dyDescent="0.25">
      <c r="B102">
        <v>0.49565516621373767</v>
      </c>
      <c r="C102">
        <v>1.1676659304272199</v>
      </c>
      <c r="D102">
        <v>1.3425284248727085</v>
      </c>
      <c r="E102">
        <v>1.5467441497970924</v>
      </c>
      <c r="F102">
        <v>1.1881441560021193</v>
      </c>
      <c r="G102">
        <v>0.68728418471675889</v>
      </c>
    </row>
    <row r="103" spans="1:7" x14ac:dyDescent="0.25">
      <c r="B103">
        <v>0.45015636817930527</v>
      </c>
      <c r="C103">
        <v>-0.23897921826188084</v>
      </c>
      <c r="D103">
        <v>0.80771329334532027</v>
      </c>
      <c r="E103">
        <v>-0.67544872841953119</v>
      </c>
      <c r="F103">
        <v>-0.75494151810106547</v>
      </c>
    </row>
    <row r="104" spans="1:7" x14ac:dyDescent="0.25">
      <c r="B104">
        <v>-1.1061473033536731</v>
      </c>
      <c r="C104">
        <v>-0.76095979596430519</v>
      </c>
      <c r="D104">
        <v>-0.61487164390756044</v>
      </c>
      <c r="E104">
        <v>-0.38767812807433111</v>
      </c>
    </row>
    <row r="105" spans="1:7" x14ac:dyDescent="0.25">
      <c r="B105">
        <v>-1.0767945784444479</v>
      </c>
      <c r="C105">
        <v>1.4063358149593845</v>
      </c>
      <c r="D105">
        <v>-1.0750947007050566</v>
      </c>
    </row>
    <row r="106" spans="1:7" x14ac:dyDescent="0.25">
      <c r="B106">
        <v>-0.11554181951122038</v>
      </c>
      <c r="C106">
        <v>-1.0062809661307575</v>
      </c>
    </row>
    <row r="107" spans="1:7" x14ac:dyDescent="0.25">
      <c r="B107">
        <v>1.7527012587105932</v>
      </c>
    </row>
    <row r="110" spans="1:7" x14ac:dyDescent="0.25">
      <c r="A110" t="s">
        <v>22</v>
      </c>
    </row>
    <row r="111" spans="1:7" x14ac:dyDescent="0.25">
      <c r="B111">
        <v>0.30871614734944125</v>
      </c>
      <c r="C111">
        <v>0.10271271388779325</v>
      </c>
      <c r="D111">
        <v>-0.10709429676703278</v>
      </c>
      <c r="E111">
        <v>-3.308515659915965E-2</v>
      </c>
      <c r="F111">
        <v>0.13749653815066962</v>
      </c>
      <c r="G111">
        <v>0.7275545575194845</v>
      </c>
    </row>
    <row r="112" spans="1:7" x14ac:dyDescent="0.25">
      <c r="B112">
        <v>-0.4733556494078518</v>
      </c>
      <c r="C112">
        <v>-1.1314193889215169</v>
      </c>
      <c r="D112">
        <v>-1.3168750319610067</v>
      </c>
      <c r="E112">
        <v>-1.5367298051846476</v>
      </c>
      <c r="F112">
        <v>-1.1774324526340068</v>
      </c>
      <c r="G112">
        <v>-0.68604982751446486</v>
      </c>
    </row>
    <row r="113" spans="1:7" x14ac:dyDescent="0.25">
      <c r="B113">
        <v>-0.43743333979185794</v>
      </c>
      <c r="C113">
        <v>0.24623238890386945</v>
      </c>
      <c r="D113">
        <v>-0.80498375738059924</v>
      </c>
      <c r="E113">
        <v>0.6930838556663157</v>
      </c>
      <c r="F113">
        <v>0.77119875614581301</v>
      </c>
    </row>
    <row r="114" spans="1:7" x14ac:dyDescent="0.25">
      <c r="B114">
        <v>1.2454389590857009</v>
      </c>
      <c r="C114">
        <v>0.79537556976926438</v>
      </c>
      <c r="D114">
        <v>0.62550343255183782</v>
      </c>
      <c r="E114">
        <v>0.39623433380346751</v>
      </c>
    </row>
    <row r="115" spans="1:7" x14ac:dyDescent="0.25">
      <c r="B115">
        <v>1.2230468062538244</v>
      </c>
      <c r="C115">
        <v>-1.3720564923331939</v>
      </c>
      <c r="D115">
        <v>1.1023237128978733</v>
      </c>
    </row>
    <row r="116" spans="1:7" x14ac:dyDescent="0.25">
      <c r="B116">
        <v>0.11895559285687603</v>
      </c>
      <c r="C116">
        <v>1.0646823753089509</v>
      </c>
    </row>
    <row r="117" spans="1:7" x14ac:dyDescent="0.25">
      <c r="B117">
        <v>-1.5582582323253884</v>
      </c>
    </row>
    <row r="119" spans="1:7" x14ac:dyDescent="0.25">
      <c r="A119" t="s">
        <v>23</v>
      </c>
      <c r="E119" t="s">
        <v>26</v>
      </c>
    </row>
    <row r="120" spans="1:7" x14ac:dyDescent="0.25">
      <c r="B120" t="s">
        <v>24</v>
      </c>
      <c r="C120" t="s">
        <v>25</v>
      </c>
      <c r="F120" t="s">
        <v>24</v>
      </c>
      <c r="G120" t="s">
        <v>25</v>
      </c>
    </row>
    <row r="121" spans="1:7" x14ac:dyDescent="0.25">
      <c r="B121">
        <v>-0.28866098657010791</v>
      </c>
      <c r="C121">
        <v>1.240062341268747</v>
      </c>
      <c r="F121">
        <v>0.30871614734944125</v>
      </c>
      <c r="G121">
        <v>1.6050203581167251</v>
      </c>
    </row>
    <row r="122" spans="1:7" x14ac:dyDescent="0.25">
      <c r="B122">
        <v>0.49565516621373767</v>
      </c>
      <c r="C122">
        <v>-0.40954245433444925</v>
      </c>
      <c r="F122">
        <v>-0.4733556494078518</v>
      </c>
      <c r="G122">
        <v>-1.1837235333107972</v>
      </c>
    </row>
    <row r="123" spans="1:7" x14ac:dyDescent="0.25">
      <c r="B123">
        <v>0.45015636817930527</v>
      </c>
      <c r="C123">
        <v>0.6277319062746155</v>
      </c>
      <c r="F123">
        <v>-0.43743333979185794</v>
      </c>
      <c r="G123">
        <v>-0.84638358065977615</v>
      </c>
    </row>
    <row r="124" spans="1:7" x14ac:dyDescent="0.25">
      <c r="B124">
        <v>-1.1061473033536731</v>
      </c>
      <c r="C124">
        <v>-0.43252066163268338</v>
      </c>
      <c r="F124">
        <v>1.2454389590857009</v>
      </c>
      <c r="G124">
        <v>0.29945071445198246</v>
      </c>
    </row>
    <row r="125" spans="1:7" x14ac:dyDescent="0.25">
      <c r="B125">
        <v>-1.0767945784444479</v>
      </c>
      <c r="C125">
        <v>-1.3304156610561526</v>
      </c>
      <c r="F125">
        <v>1.2230468062538244</v>
      </c>
      <c r="G125">
        <v>0.45813799201542571</v>
      </c>
    </row>
    <row r="126" spans="1:7" x14ac:dyDescent="0.25">
      <c r="B126">
        <v>-0.11554181951122038</v>
      </c>
      <c r="C126">
        <v>0.97128423635255856</v>
      </c>
      <c r="F126">
        <v>0.11895559285687603</v>
      </c>
      <c r="G126">
        <v>8.2352480186498142E-2</v>
      </c>
    </row>
    <row r="127" spans="1:7" x14ac:dyDescent="0.25">
      <c r="B127">
        <v>-0.10001794763896632</v>
      </c>
      <c r="C127">
        <v>-0.45449393499898794</v>
      </c>
      <c r="F127">
        <v>0.10271271388779325</v>
      </c>
      <c r="G127">
        <v>-7.8980622010297721E-2</v>
      </c>
    </row>
    <row r="128" spans="1:7" x14ac:dyDescent="0.25">
      <c r="B128">
        <v>1.1676659304272199</v>
      </c>
      <c r="C128">
        <v>-0.25750045767865037</v>
      </c>
      <c r="F128">
        <v>-1.1314193889215169</v>
      </c>
      <c r="G128">
        <v>-1.0391180363455126</v>
      </c>
    </row>
    <row r="129" spans="1:7" x14ac:dyDescent="0.25">
      <c r="B129">
        <v>-0.23897921826188084</v>
      </c>
      <c r="C129">
        <v>3.5192974344164696E-3</v>
      </c>
      <c r="F129">
        <v>0.24623238890386945</v>
      </c>
      <c r="G129">
        <v>1.5654939027071226</v>
      </c>
    </row>
    <row r="130" spans="1:7" x14ac:dyDescent="0.25">
      <c r="B130">
        <v>-0.76095979596430519</v>
      </c>
      <c r="C130">
        <v>-0.98452649500080569</v>
      </c>
      <c r="F130">
        <v>0.79537556976926438</v>
      </c>
      <c r="G130">
        <v>4.8068340763223368E-3</v>
      </c>
    </row>
    <row r="131" spans="1:7" x14ac:dyDescent="0.25">
      <c r="B131">
        <v>1.4063358149593845</v>
      </c>
      <c r="C131">
        <v>1.6606697361400364</v>
      </c>
      <c r="F131">
        <v>-1.3720564923331939</v>
      </c>
      <c r="G131">
        <v>-0.68058908514704941</v>
      </c>
    </row>
    <row r="132" spans="1:7" x14ac:dyDescent="0.25">
      <c r="B132">
        <v>0.10639976596017602</v>
      </c>
      <c r="C132">
        <v>-0.17809621413071761</v>
      </c>
      <c r="F132">
        <v>-0.10709429676703278</v>
      </c>
      <c r="G132">
        <v>0.2215854298979098</v>
      </c>
    </row>
    <row r="133" spans="1:7" x14ac:dyDescent="0.25">
      <c r="B133">
        <v>1.3425284248727085</v>
      </c>
      <c r="C133">
        <v>0.29255115554379418</v>
      </c>
      <c r="F133">
        <v>-1.3168750319610067</v>
      </c>
      <c r="G133">
        <v>0.2872210142665777</v>
      </c>
    </row>
    <row r="134" spans="1:7" x14ac:dyDescent="0.25">
      <c r="B134">
        <v>0.80771329334532027</v>
      </c>
      <c r="C134">
        <v>1.2481174710715912</v>
      </c>
      <c r="F134">
        <v>-0.80498375738059924</v>
      </c>
      <c r="G134">
        <v>-1.4151199184082404</v>
      </c>
    </row>
    <row r="135" spans="1:7" x14ac:dyDescent="0.25">
      <c r="B135">
        <v>-0.61487164390756044</v>
      </c>
      <c r="C135">
        <v>-1.1510422834579761</v>
      </c>
      <c r="F135">
        <v>0.62550343255183782</v>
      </c>
      <c r="G135">
        <v>0.93050502564193194</v>
      </c>
    </row>
    <row r="136" spans="1:7" x14ac:dyDescent="0.25">
      <c r="B136">
        <v>3.2514909775216434E-2</v>
      </c>
      <c r="C136">
        <v>0.84558657658266334</v>
      </c>
      <c r="F136">
        <v>-3.308515659915965E-2</v>
      </c>
      <c r="G136">
        <v>1.1313480458679808</v>
      </c>
    </row>
    <row r="137" spans="1:7" x14ac:dyDescent="0.25">
      <c r="B137">
        <v>1.5467441497970924</v>
      </c>
      <c r="C137">
        <v>0.57165262992072785</v>
      </c>
      <c r="F137">
        <v>-1.5367298051846476</v>
      </c>
      <c r="G137">
        <v>9.6288253463155962E-2</v>
      </c>
    </row>
    <row r="138" spans="1:7" x14ac:dyDescent="0.25">
      <c r="B138">
        <v>-0.67544872841953119</v>
      </c>
      <c r="C138">
        <v>-0.97887517703123239</v>
      </c>
      <c r="F138">
        <v>0.6930838556663157</v>
      </c>
      <c r="G138">
        <v>-0.84307779673984817</v>
      </c>
    </row>
    <row r="139" spans="1:7" x14ac:dyDescent="0.25">
      <c r="B139">
        <v>-0.13556094129678459</v>
      </c>
      <c r="C139">
        <v>-0.7239431061395909</v>
      </c>
      <c r="F139">
        <v>0.13749653815066962</v>
      </c>
      <c r="G139">
        <v>0.73189378855641907</v>
      </c>
    </row>
    <row r="140" spans="1:7" x14ac:dyDescent="0.25">
      <c r="B140">
        <v>1.1881441560021193</v>
      </c>
      <c r="C140">
        <v>0.68985968071265136</v>
      </c>
      <c r="F140">
        <v>-1.1774324526340068</v>
      </c>
      <c r="G140">
        <v>-0.68141872756223232</v>
      </c>
    </row>
    <row r="143" spans="1:7" x14ac:dyDescent="0.25">
      <c r="A143" t="s">
        <v>27</v>
      </c>
      <c r="B143">
        <v>0.61514342104871722</v>
      </c>
      <c r="E143" t="s">
        <v>27</v>
      </c>
      <c r="F143">
        <v>0.4415110515399821</v>
      </c>
    </row>
    <row r="144" spans="1:7" x14ac:dyDescent="0.25">
      <c r="A144" t="s">
        <v>28</v>
      </c>
      <c r="B144">
        <v>0.63602146642515034</v>
      </c>
      <c r="E144" t="s">
        <v>28</v>
      </c>
      <c r="F144">
        <v>0.44961007256557356</v>
      </c>
    </row>
    <row r="147" spans="1:15" x14ac:dyDescent="0.25">
      <c r="A147" t="s">
        <v>29</v>
      </c>
    </row>
    <row r="148" spans="1:15" x14ac:dyDescent="0.25">
      <c r="B148">
        <v>2.7684685106054427</v>
      </c>
      <c r="C148">
        <v>1.0941941083831339</v>
      </c>
      <c r="D148">
        <v>1.0245111877324504</v>
      </c>
      <c r="E148">
        <v>1.0200794548404275</v>
      </c>
      <c r="F148">
        <v>1.0176816607744559</v>
      </c>
    </row>
    <row r="150" spans="1:15" x14ac:dyDescent="0.25">
      <c r="A150" t="s">
        <v>30</v>
      </c>
    </row>
    <row r="151" spans="1:15" x14ac:dyDescent="0.25">
      <c r="B151">
        <v>1.5559222748199864</v>
      </c>
      <c r="C151">
        <v>1.0369896918731789</v>
      </c>
      <c r="D151">
        <v>1.0070138875987331</v>
      </c>
      <c r="E151">
        <v>1.0113311156957483</v>
      </c>
      <c r="F151">
        <v>0.99455261051816835</v>
      </c>
    </row>
    <row r="155" spans="1:15" x14ac:dyDescent="0.25">
      <c r="A155" s="12" t="s">
        <v>31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</row>
    <row r="156" spans="1:15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</row>
    <row r="158" spans="1:15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</row>
    <row r="159" spans="1:15" x14ac:dyDescent="0.25">
      <c r="A159" s="12" t="s">
        <v>32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</row>
    <row r="160" spans="1:15" x14ac:dyDescent="0.25">
      <c r="A160" s="12"/>
      <c r="B160" s="12">
        <v>576</v>
      </c>
      <c r="C160" s="12">
        <v>1804</v>
      </c>
      <c r="D160" s="12">
        <v>1970</v>
      </c>
      <c r="E160" s="12">
        <v>2024</v>
      </c>
      <c r="F160" s="12">
        <v>2074</v>
      </c>
      <c r="G160" s="12">
        <v>2102</v>
      </c>
      <c r="H160" s="12">
        <v>2131</v>
      </c>
      <c r="I160" s="12"/>
      <c r="J160" s="12"/>
      <c r="K160" s="12"/>
      <c r="L160" s="12"/>
      <c r="M160" s="12"/>
      <c r="N160" s="12"/>
      <c r="O160" s="12"/>
    </row>
    <row r="161" spans="1:15" x14ac:dyDescent="0.25">
      <c r="A161" s="12"/>
      <c r="B161" s="12">
        <v>866</v>
      </c>
      <c r="C161" s="12">
        <v>1948</v>
      </c>
      <c r="D161" s="12">
        <v>2162</v>
      </c>
      <c r="E161" s="12">
        <v>2232</v>
      </c>
      <c r="F161" s="12">
        <v>2284</v>
      </c>
      <c r="G161" s="12">
        <v>2348</v>
      </c>
      <c r="H161" s="12">
        <v>0</v>
      </c>
      <c r="I161" s="12"/>
      <c r="J161" s="12"/>
      <c r="K161" s="12"/>
      <c r="L161" s="12"/>
      <c r="M161" s="12"/>
      <c r="N161" s="12"/>
      <c r="O161" s="12"/>
    </row>
    <row r="162" spans="1:15" x14ac:dyDescent="0.25">
      <c r="A162" s="12"/>
      <c r="B162" s="12">
        <v>1412</v>
      </c>
      <c r="C162" s="12">
        <v>3758</v>
      </c>
      <c r="D162" s="12">
        <v>4252</v>
      </c>
      <c r="E162" s="12">
        <v>4416</v>
      </c>
      <c r="F162" s="12">
        <v>4494</v>
      </c>
      <c r="G162" s="12">
        <v>4573.4613835204045</v>
      </c>
      <c r="H162" s="12"/>
      <c r="I162" s="12"/>
      <c r="J162" s="12"/>
      <c r="K162" s="12"/>
      <c r="L162" s="12"/>
      <c r="M162" s="12"/>
      <c r="N162" s="12"/>
      <c r="O162" s="12"/>
    </row>
    <row r="163" spans="1:15" x14ac:dyDescent="0.25">
      <c r="A163" s="12"/>
      <c r="B163" s="12">
        <v>2286</v>
      </c>
      <c r="C163" s="12">
        <v>5292</v>
      </c>
      <c r="D163" s="12">
        <v>5724</v>
      </c>
      <c r="E163" s="12">
        <v>5850</v>
      </c>
      <c r="F163" s="12">
        <v>5967.4648108165011</v>
      </c>
      <c r="G163" s="12"/>
      <c r="H163" s="12"/>
      <c r="I163" s="12"/>
      <c r="J163" s="12"/>
      <c r="K163" s="12"/>
      <c r="L163" s="12"/>
      <c r="M163" s="12"/>
      <c r="N163" s="12"/>
      <c r="O163" s="12"/>
    </row>
    <row r="164" spans="1:15" x14ac:dyDescent="0.25">
      <c r="A164" s="12"/>
      <c r="B164" s="12">
        <v>1868</v>
      </c>
      <c r="C164" s="12">
        <v>3778</v>
      </c>
      <c r="D164" s="12">
        <v>4648</v>
      </c>
      <c r="E164" s="12">
        <v>4761.9280005804294</v>
      </c>
      <c r="F164" s="12"/>
      <c r="G164" s="12"/>
      <c r="H164" s="12"/>
      <c r="I164" s="12"/>
      <c r="J164" s="12"/>
      <c r="K164" s="12"/>
      <c r="L164" s="12"/>
      <c r="M164" s="12"/>
      <c r="N164" s="12"/>
      <c r="O164" s="12"/>
    </row>
    <row r="165" spans="1:15" x14ac:dyDescent="0.25">
      <c r="A165" s="12"/>
      <c r="B165" s="12">
        <v>1442</v>
      </c>
      <c r="C165" s="12">
        <v>4010</v>
      </c>
      <c r="D165" s="12">
        <v>4387.7183746163673</v>
      </c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</row>
    <row r="166" spans="1:15" x14ac:dyDescent="0.25">
      <c r="A166" s="12"/>
      <c r="B166" s="12">
        <v>2044</v>
      </c>
      <c r="C166" s="12">
        <v>5658.7496356775246</v>
      </c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</row>
    <row r="167" spans="1:15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</row>
    <row r="168" spans="1:15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</row>
    <row r="169" spans="1:15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</row>
    <row r="170" spans="1:15" x14ac:dyDescent="0.25">
      <c r="A170" s="12" t="s">
        <v>33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</row>
    <row r="171" spans="1:15" x14ac:dyDescent="0.25">
      <c r="A171" s="12"/>
      <c r="B171" s="12">
        <v>978</v>
      </c>
      <c r="C171" s="12">
        <v>2104</v>
      </c>
      <c r="D171" s="12">
        <v>2134</v>
      </c>
      <c r="E171" s="12">
        <v>2144</v>
      </c>
      <c r="F171" s="12">
        <v>2174</v>
      </c>
      <c r="G171" s="12">
        <v>2182</v>
      </c>
      <c r="H171" s="12">
        <v>2174</v>
      </c>
      <c r="I171" s="12"/>
      <c r="J171" s="12"/>
      <c r="K171" s="12"/>
      <c r="L171" s="12"/>
      <c r="M171" s="12"/>
      <c r="N171" s="12"/>
      <c r="O171" s="12"/>
    </row>
    <row r="172" spans="1:15" x14ac:dyDescent="0.25">
      <c r="A172" s="12"/>
      <c r="B172" s="12">
        <v>1844</v>
      </c>
      <c r="C172" s="12">
        <v>2552</v>
      </c>
      <c r="D172" s="12">
        <v>2466</v>
      </c>
      <c r="E172" s="12">
        <v>2480</v>
      </c>
      <c r="F172" s="12">
        <v>2508</v>
      </c>
      <c r="G172" s="12">
        <v>2454</v>
      </c>
      <c r="H172" s="12">
        <v>0</v>
      </c>
      <c r="I172" s="12"/>
      <c r="J172" s="12"/>
      <c r="K172" s="12"/>
      <c r="L172" s="12"/>
      <c r="M172" s="12"/>
      <c r="N172" s="12"/>
      <c r="O172" s="12"/>
    </row>
    <row r="173" spans="1:15" x14ac:dyDescent="0.25">
      <c r="A173" s="12"/>
      <c r="B173" s="12">
        <v>2904</v>
      </c>
      <c r="C173" s="12">
        <v>4354</v>
      </c>
      <c r="D173" s="12">
        <v>4698</v>
      </c>
      <c r="E173" s="12">
        <v>4600</v>
      </c>
      <c r="F173" s="12">
        <v>4644</v>
      </c>
      <c r="G173" s="12">
        <v>4618.7023232463735</v>
      </c>
      <c r="H173" s="12"/>
      <c r="I173" s="12"/>
      <c r="J173" s="12"/>
      <c r="K173" s="12"/>
      <c r="L173" s="12"/>
      <c r="M173" s="12"/>
      <c r="N173" s="12"/>
      <c r="O173" s="12"/>
    </row>
    <row r="174" spans="1:15" x14ac:dyDescent="0.25">
      <c r="A174" s="12"/>
      <c r="B174" s="12">
        <v>3502</v>
      </c>
      <c r="C174" s="12">
        <v>5958</v>
      </c>
      <c r="D174" s="12">
        <v>6070</v>
      </c>
      <c r="E174" s="12">
        <v>6142</v>
      </c>
      <c r="F174" s="12">
        <v>6211.5957126032863</v>
      </c>
      <c r="G174" s="12"/>
      <c r="H174" s="12"/>
      <c r="I174" s="12"/>
      <c r="J174" s="12"/>
      <c r="K174" s="12"/>
      <c r="L174" s="12"/>
      <c r="M174" s="12"/>
      <c r="N174" s="12"/>
      <c r="O174" s="12"/>
    </row>
    <row r="175" spans="1:15" x14ac:dyDescent="0.25">
      <c r="A175" s="12"/>
      <c r="B175" s="12">
        <v>2812</v>
      </c>
      <c r="C175" s="12">
        <v>4882</v>
      </c>
      <c r="D175" s="12">
        <v>4852</v>
      </c>
      <c r="E175" s="12">
        <v>4886.031382629053</v>
      </c>
      <c r="F175" s="12"/>
      <c r="G175" s="12"/>
      <c r="H175" s="12"/>
      <c r="I175" s="12"/>
      <c r="J175" s="12"/>
      <c r="K175" s="12"/>
      <c r="L175" s="12"/>
      <c r="M175" s="12"/>
      <c r="N175" s="12"/>
      <c r="O175" s="12"/>
    </row>
    <row r="176" spans="1:15" x14ac:dyDescent="0.25">
      <c r="A176" s="12"/>
      <c r="B176" s="12">
        <v>2642</v>
      </c>
      <c r="C176" s="12">
        <v>4406</v>
      </c>
      <c r="D176" s="12">
        <v>4568.9765823932266</v>
      </c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</row>
    <row r="177" spans="1:15" x14ac:dyDescent="0.25">
      <c r="A177" s="12"/>
      <c r="B177" s="12">
        <v>5022</v>
      </c>
      <c r="C177" s="12">
        <v>7813.8416641459717</v>
      </c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</row>
    <row r="178" spans="1:15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</row>
    <row r="179" spans="1:15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</row>
    <row r="180" spans="1:15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</row>
    <row r="181" spans="1:15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</row>
    <row r="183" spans="1:15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</row>
    <row r="184" spans="1:15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</row>
    <row r="185" spans="1:15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</row>
    <row r="186" spans="1:15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</row>
  </sheetData>
  <phoneticPr fontId="5" type="noConversion"/>
  <pageMargins left="0.7" right="0.7" top="0.75" bottom="0.75" header="0.3" footer="0.3"/>
  <pageSetup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Z123"/>
  <sheetViews>
    <sheetView tabSelected="1" topLeftCell="A10" workbookViewId="0">
      <selection activeCell="B25" sqref="B25"/>
    </sheetView>
  </sheetViews>
  <sheetFormatPr defaultRowHeight="15" x14ac:dyDescent="0.25"/>
  <cols>
    <col min="3" max="3" width="10.42578125" customWidth="1"/>
  </cols>
  <sheetData>
    <row r="3" spans="2:20" x14ac:dyDescent="0.25">
      <c r="B3" t="s">
        <v>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K3" t="s">
        <v>2</v>
      </c>
      <c r="L3">
        <v>1</v>
      </c>
      <c r="M3">
        <v>2</v>
      </c>
      <c r="N3">
        <v>3</v>
      </c>
      <c r="O3">
        <v>4</v>
      </c>
      <c r="P3">
        <v>5</v>
      </c>
      <c r="Q3">
        <v>6</v>
      </c>
      <c r="R3">
        <v>7</v>
      </c>
    </row>
    <row r="4" spans="2:20" x14ac:dyDescent="0.25">
      <c r="B4">
        <v>1</v>
      </c>
      <c r="C4">
        <v>576</v>
      </c>
      <c r="D4">
        <v>1804</v>
      </c>
      <c r="E4">
        <v>1970</v>
      </c>
      <c r="F4">
        <v>2024</v>
      </c>
      <c r="G4">
        <v>2074</v>
      </c>
      <c r="H4">
        <v>2102</v>
      </c>
      <c r="I4">
        <v>2131</v>
      </c>
      <c r="K4">
        <v>1</v>
      </c>
      <c r="L4">
        <v>978</v>
      </c>
      <c r="M4">
        <v>2104</v>
      </c>
      <c r="N4">
        <v>2134</v>
      </c>
      <c r="O4">
        <v>2144</v>
      </c>
      <c r="P4">
        <v>2174</v>
      </c>
      <c r="Q4">
        <v>2182</v>
      </c>
      <c r="R4">
        <v>2174</v>
      </c>
    </row>
    <row r="5" spans="2:20" x14ac:dyDescent="0.25">
      <c r="B5">
        <v>2</v>
      </c>
      <c r="C5">
        <v>866</v>
      </c>
      <c r="D5">
        <v>1948</v>
      </c>
      <c r="E5">
        <v>2162</v>
      </c>
      <c r="F5">
        <v>2232</v>
      </c>
      <c r="G5">
        <v>2284</v>
      </c>
      <c r="H5">
        <v>2348</v>
      </c>
      <c r="K5">
        <v>2</v>
      </c>
      <c r="L5">
        <v>1844</v>
      </c>
      <c r="M5">
        <v>2552</v>
      </c>
      <c r="N5">
        <v>2466</v>
      </c>
      <c r="O5">
        <v>2480</v>
      </c>
      <c r="P5">
        <v>2508</v>
      </c>
      <c r="Q5">
        <v>2454</v>
      </c>
    </row>
    <row r="6" spans="2:20" x14ac:dyDescent="0.25">
      <c r="B6">
        <v>3</v>
      </c>
      <c r="C6">
        <v>1412</v>
      </c>
      <c r="D6">
        <v>3758</v>
      </c>
      <c r="E6">
        <v>4252</v>
      </c>
      <c r="F6">
        <v>4416</v>
      </c>
      <c r="G6">
        <v>4494</v>
      </c>
      <c r="K6">
        <v>3</v>
      </c>
      <c r="L6">
        <v>2904</v>
      </c>
      <c r="M6">
        <v>4354</v>
      </c>
      <c r="N6">
        <v>4698</v>
      </c>
      <c r="O6">
        <v>4600</v>
      </c>
      <c r="P6">
        <v>4644</v>
      </c>
    </row>
    <row r="7" spans="2:20" x14ac:dyDescent="0.25">
      <c r="B7">
        <v>4</v>
      </c>
      <c r="C7">
        <v>2286</v>
      </c>
      <c r="D7">
        <v>5292</v>
      </c>
      <c r="E7">
        <v>5724</v>
      </c>
      <c r="F7">
        <v>5850</v>
      </c>
      <c r="K7">
        <v>4</v>
      </c>
      <c r="L7">
        <v>3502</v>
      </c>
      <c r="M7">
        <v>5958</v>
      </c>
      <c r="N7">
        <v>6070</v>
      </c>
      <c r="O7">
        <v>6142</v>
      </c>
    </row>
    <row r="8" spans="2:20" x14ac:dyDescent="0.25">
      <c r="B8">
        <v>5</v>
      </c>
      <c r="C8">
        <v>1868</v>
      </c>
      <c r="D8">
        <v>3778</v>
      </c>
      <c r="E8">
        <v>4648</v>
      </c>
      <c r="K8">
        <v>5</v>
      </c>
      <c r="L8">
        <v>2812</v>
      </c>
      <c r="M8">
        <v>4882</v>
      </c>
      <c r="N8">
        <v>4852</v>
      </c>
    </row>
    <row r="9" spans="2:20" x14ac:dyDescent="0.25">
      <c r="B9">
        <v>6</v>
      </c>
      <c r="C9">
        <v>1442</v>
      </c>
      <c r="D9">
        <v>4010</v>
      </c>
      <c r="K9">
        <v>6</v>
      </c>
      <c r="L9">
        <v>2642</v>
      </c>
      <c r="M9">
        <v>4406</v>
      </c>
    </row>
    <row r="10" spans="2:20" x14ac:dyDescent="0.25">
      <c r="B10">
        <v>7</v>
      </c>
      <c r="C10">
        <v>2044</v>
      </c>
      <c r="K10">
        <v>7</v>
      </c>
      <c r="L10">
        <v>5022</v>
      </c>
    </row>
    <row r="11" spans="2:20" x14ac:dyDescent="0.25">
      <c r="T11" s="17" t="s">
        <v>60</v>
      </c>
    </row>
    <row r="13" spans="2:20" x14ac:dyDescent="0.25">
      <c r="B13" s="13" t="s">
        <v>34</v>
      </c>
      <c r="C13" s="13">
        <f>SUM(D4:D9)/SUM(C4:C9)</f>
        <v>2.4366863905325444</v>
      </c>
      <c r="D13" s="13">
        <f>SUM(E4:E8)/SUM(D4:D8)</f>
        <v>1.13124246079614</v>
      </c>
      <c r="E13" s="13">
        <f>SUM(F4:F7)/SUM(E4:E7)</f>
        <v>1.0293450524525092</v>
      </c>
      <c r="F13" s="13">
        <f>SUM(G4:G6)/SUM(F4:F6)</f>
        <v>1.0207564575645756</v>
      </c>
      <c r="G13" s="13">
        <f>SUM(H4:H5)/SUM(G4:G5)</f>
        <v>1.0211106011932078</v>
      </c>
      <c r="H13" s="13">
        <f>SUM(I4)/SUM(H4)</f>
        <v>1.0137963843958135</v>
      </c>
      <c r="K13" s="13" t="s">
        <v>34</v>
      </c>
      <c r="L13" s="13">
        <f>SUM(M4:M9)/SUM(L4:L9)</f>
        <v>1.6520909957771421</v>
      </c>
      <c r="M13" s="13">
        <f>SUM(N4:N8)/SUM(M4:M8)</f>
        <v>1.018639798488665</v>
      </c>
      <c r="N13" s="13">
        <f>SUM(O4:O7)/SUM(N4:N7)</f>
        <v>0.99986985944820406</v>
      </c>
      <c r="O13" s="13">
        <f>SUM(P4:P6)/SUM(O4:O6)</f>
        <v>1.0110581092801387</v>
      </c>
      <c r="P13" s="13">
        <f>SUM(Q4:Q5)/SUM(P4:P5)</f>
        <v>0.99017513882955999</v>
      </c>
      <c r="Q13" s="13">
        <f>SUM(R4)/SUM(Q4)</f>
        <v>0.99633363886342807</v>
      </c>
    </row>
    <row r="15" spans="2:20" x14ac:dyDescent="0.25">
      <c r="B15" t="s">
        <v>35</v>
      </c>
      <c r="K15" t="s">
        <v>35</v>
      </c>
    </row>
    <row r="16" spans="2:20" x14ac:dyDescent="0.25">
      <c r="C16" s="13">
        <f t="shared" ref="C16:H16" si="0">C4*(D4/C4-C$13)^2</f>
        <v>278.42904664091293</v>
      </c>
      <c r="D16" s="13">
        <f t="shared" si="0"/>
        <v>2.7755962458597363</v>
      </c>
      <c r="E16" s="13">
        <f t="shared" si="0"/>
        <v>7.3676245921015767E-3</v>
      </c>
      <c r="F16" s="13">
        <f t="shared" si="0"/>
        <v>3.1533103150264336E-2</v>
      </c>
      <c r="G16" s="13">
        <f t="shared" si="0"/>
        <v>0.12011345286252244</v>
      </c>
      <c r="H16" s="13">
        <f t="shared" si="0"/>
        <v>0</v>
      </c>
      <c r="L16">
        <f t="shared" ref="L16:Q16" si="1">L4*(M4/L4-L$13)^2</f>
        <v>243.75557363084104</v>
      </c>
      <c r="M16">
        <f t="shared" si="1"/>
        <v>4.0386897189168443E-2</v>
      </c>
      <c r="N16">
        <f t="shared" si="1"/>
        <v>4.9499309800541638E-2</v>
      </c>
      <c r="O16">
        <f t="shared" si="1"/>
        <v>1.8461700740256836E-2</v>
      </c>
      <c r="P16">
        <f t="shared" si="1"/>
        <v>0.3964882492921819</v>
      </c>
      <c r="Q16">
        <f t="shared" si="1"/>
        <v>0</v>
      </c>
    </row>
    <row r="17" spans="2:18" x14ac:dyDescent="0.25">
      <c r="C17" s="13">
        <f>C5*(D5/C5-C$13)^2</f>
        <v>30.368641157255659</v>
      </c>
      <c r="D17" s="13">
        <f>D5*(E5/D5-D$13)^2</f>
        <v>0.89095571448836153</v>
      </c>
      <c r="E17" s="13">
        <f>E5*(F5/E5-E$13)^2</f>
        <v>1.9880245785720004E-2</v>
      </c>
      <c r="F17" s="13">
        <f>F5*(G5/F5-F$13)^2</f>
        <v>1.4411691700539592E-2</v>
      </c>
      <c r="G17" s="13">
        <f>G5*(H5/G5-G$13)^2</f>
        <v>0.10906974660107858</v>
      </c>
      <c r="H17" s="13"/>
      <c r="L17">
        <f>L5*(M5/L5-L$13)^2</f>
        <v>132.58488850796161</v>
      </c>
      <c r="M17">
        <f>M5*(N5/M5-M$13)^2</f>
        <v>6.9908366701128317</v>
      </c>
      <c r="N17">
        <f>N5*(O5/N5-N$13)^2</f>
        <v>8.316664181000151E-2</v>
      </c>
      <c r="O17">
        <f>O5*(P5/O5-O$13)^2</f>
        <v>1.3372908199152299E-4</v>
      </c>
      <c r="P17">
        <f>P5*(Q5/P5-P$13)^2</f>
        <v>0.34368638515199307</v>
      </c>
    </row>
    <row r="18" spans="2:18" x14ac:dyDescent="0.25">
      <c r="C18" s="13">
        <f>C6*(D6/C6-C$13)^2</f>
        <v>71.347031698864583</v>
      </c>
      <c r="D18" s="13">
        <f>D6*(E6/D6-D$13)^2</f>
        <v>1.6642250430478351E-4</v>
      </c>
      <c r="E18" s="13">
        <f>E6*(F6/E6-E$13)^2</f>
        <v>0.36185038463653835</v>
      </c>
      <c r="F18" s="13">
        <f>F6*(G6/F6-F$13)^2</f>
        <v>4.22576344927523E-2</v>
      </c>
      <c r="G18" s="13"/>
      <c r="H18" s="13"/>
      <c r="L18">
        <f>L6*(M6/L6-L$13)^2</f>
        <v>67.784113967362529</v>
      </c>
      <c r="M18">
        <f>M6*(N6/M6-M$13)^2</f>
        <v>15.867267755138739</v>
      </c>
      <c r="N18">
        <f>N6*(O6/N6-N$13)^2</f>
        <v>2.0188461790386922</v>
      </c>
      <c r="O18">
        <f>O6*(P6/O6-O$13)^2</f>
        <v>1.0252140482038574E-2</v>
      </c>
    </row>
    <row r="19" spans="2:18" x14ac:dyDescent="0.25">
      <c r="C19" s="13">
        <f>C7*(D7/C7-C$13)^2</f>
        <v>33.872029580560778</v>
      </c>
      <c r="D19" s="13">
        <f>D7*(E7/D7-D$13)^2</f>
        <v>13.024315960336985</v>
      </c>
      <c r="E19" s="13">
        <f>E7*(F7/E7-E$13)^2</f>
        <v>0.30775184772156311</v>
      </c>
      <c r="F19" s="13"/>
      <c r="G19" s="13"/>
      <c r="H19" s="13"/>
      <c r="L19">
        <f>L7*(M7/L7-L$13)^2</f>
        <v>8.4848500454767333</v>
      </c>
      <c r="M19">
        <f>M7*(N7/M7-M$13)^2</f>
        <v>1.4959519769347718E-4</v>
      </c>
      <c r="N19">
        <f>N7*(O7/N7-N$13)^2</f>
        <v>0.87287928821943739</v>
      </c>
    </row>
    <row r="20" spans="2:18" x14ac:dyDescent="0.25">
      <c r="C20" s="13">
        <f>C8*(D8/C8-C$13)^2</f>
        <v>320.48093554447178</v>
      </c>
      <c r="D20" s="13">
        <f>D8*(E8/D8-D$13)^2</f>
        <v>37.056692143543358</v>
      </c>
      <c r="E20" s="13"/>
      <c r="F20" s="13"/>
      <c r="G20" s="13"/>
      <c r="H20" s="13"/>
      <c r="L20">
        <f>L8*(M8/L8-L$13)^2</f>
        <v>19.860312609381708</v>
      </c>
      <c r="M20">
        <f>M8*(N8/M8-M$13)^2</f>
        <v>2.9989508574142163</v>
      </c>
    </row>
    <row r="21" spans="2:18" x14ac:dyDescent="0.25">
      <c r="C21" s="13">
        <f>C9*(D9/C9-C$13)^2</f>
        <v>170.81271011880506</v>
      </c>
      <c r="D21" s="13"/>
      <c r="E21" s="13"/>
      <c r="F21" s="13"/>
      <c r="G21" s="13"/>
      <c r="H21" s="13"/>
      <c r="L21">
        <f>L9*(M9/L9-L$13)^2</f>
        <v>0.64172185556730055</v>
      </c>
    </row>
    <row r="23" spans="2:18" x14ac:dyDescent="0.25">
      <c r="B23" t="s">
        <v>63</v>
      </c>
      <c r="C23" s="13">
        <f>(SUM(C16:C21)/(COUNT(C16:C21)-1))^0.5</f>
        <v>13.455930995221927</v>
      </c>
      <c r="D23" s="13">
        <f>(SUM(D16:D20)/(COUNT(D16:D20)-1))^0.5</f>
        <v>3.6656420476750298</v>
      </c>
      <c r="E23" s="13">
        <f>(SUM(E16:E19)/(COUNT(E16:E19)-1))^0.5</f>
        <v>0.4819578483421979</v>
      </c>
      <c r="F23" s="13">
        <f>(SUM(F16:F18)/(COUNT(F16:F18)-1))^0.5</f>
        <v>0.21000289205574793</v>
      </c>
      <c r="G23" s="13">
        <f>(SUM(G16:G17)/(COUNT(G16:G17)-1))^0.5</f>
        <v>0.47873082150995983</v>
      </c>
      <c r="H23" s="13"/>
      <c r="K23" t="s">
        <v>36</v>
      </c>
      <c r="L23" s="13">
        <f>(SUM(L16:L21)/(COUNT(L16:L21)-1))^0.5</f>
        <v>9.7273990420522072</v>
      </c>
      <c r="M23" s="13">
        <f>(SUM(M16:M20)/(COUNT(M16:M20)-1))^0.5</f>
        <v>2.5444838265870668</v>
      </c>
      <c r="N23" s="13">
        <f>(SUM(N16:N19)/(COUNT(N16:N19)-1))^0.5</f>
        <v>1.0040570068259194</v>
      </c>
      <c r="O23" s="13">
        <f>(SUM(O16:O18)/(COUNT(O16:O18)-1))^0.5</f>
        <v>0.12009906391035471</v>
      </c>
      <c r="P23" s="13">
        <f>(SUM(P16:P17)/(COUNT(P16:P17)-1))^0.5</f>
        <v>0.86033402492530475</v>
      </c>
    </row>
    <row r="25" spans="2:18" x14ac:dyDescent="0.25">
      <c r="B25" t="s">
        <v>37</v>
      </c>
      <c r="C25" s="13">
        <f>SUM(C4:C10)/SUM(L4:L10)</f>
        <v>0.53258221680876983</v>
      </c>
      <c r="D25" s="13">
        <f>SUM(D4:D9)/SUM(M4:M9)</f>
        <v>0.84886213720316628</v>
      </c>
      <c r="E25" s="13">
        <f>SUM(E4:E8)/SUM(N4:N8)</f>
        <v>0.92759643916913948</v>
      </c>
      <c r="F25" s="13">
        <f>SUM(F4:F7)/SUM(O4:O7)</f>
        <v>0.94507353898216839</v>
      </c>
      <c r="G25" s="13">
        <f>SUM(G4:G6)/SUM(P4:P6)</f>
        <v>0.94917435127600258</v>
      </c>
      <c r="H25" s="13">
        <f>SUM(H4:H5)/SUM(Q4:Q5)</f>
        <v>0.95987920621225198</v>
      </c>
      <c r="I25" s="13">
        <f>SUM(I4)/SUM(R4)</f>
        <v>0.98022079116835326</v>
      </c>
    </row>
    <row r="27" spans="2:18" x14ac:dyDescent="0.25">
      <c r="B27" t="s">
        <v>38</v>
      </c>
      <c r="K27" t="s">
        <v>39</v>
      </c>
    </row>
    <row r="28" spans="2:18" x14ac:dyDescent="0.25">
      <c r="C28" s="13">
        <f>C4/L4</f>
        <v>0.58895705521472397</v>
      </c>
      <c r="D28" s="13">
        <f t="shared" ref="D28:I28" si="2">D4/M4</f>
        <v>0.85741444866920147</v>
      </c>
      <c r="E28" s="13">
        <f t="shared" si="2"/>
        <v>0.92314901593252108</v>
      </c>
      <c r="F28" s="13">
        <f t="shared" si="2"/>
        <v>0.94402985074626866</v>
      </c>
      <c r="G28" s="13">
        <f t="shared" si="2"/>
        <v>0.95400183992640297</v>
      </c>
      <c r="H28" s="13">
        <f t="shared" si="2"/>
        <v>0.9633363886342805</v>
      </c>
      <c r="I28" s="13">
        <f t="shared" si="2"/>
        <v>0.98022079116835326</v>
      </c>
      <c r="L28">
        <f t="shared" ref="L28:L34" si="3">1/C28</f>
        <v>1.6979166666666665</v>
      </c>
      <c r="M28">
        <f t="shared" ref="M28:R33" si="4">1/D28</f>
        <v>1.1662971175166297</v>
      </c>
      <c r="N28">
        <f t="shared" si="4"/>
        <v>1.0832487309644669</v>
      </c>
      <c r="O28">
        <f t="shared" si="4"/>
        <v>1.0592885375494072</v>
      </c>
      <c r="P28">
        <f t="shared" si="4"/>
        <v>1.0482160077145612</v>
      </c>
      <c r="Q28">
        <f t="shared" si="4"/>
        <v>1.0380589914367269</v>
      </c>
      <c r="R28">
        <f t="shared" si="4"/>
        <v>1.0201783200375412</v>
      </c>
    </row>
    <row r="29" spans="2:18" x14ac:dyDescent="0.25">
      <c r="C29" s="13">
        <f t="shared" ref="C29:H29" si="5">C5/L5</f>
        <v>0.46963123644251625</v>
      </c>
      <c r="D29" s="13">
        <f t="shared" si="5"/>
        <v>0.76332288401253923</v>
      </c>
      <c r="E29" s="13">
        <f t="shared" si="5"/>
        <v>0.87672343876723435</v>
      </c>
      <c r="F29" s="13">
        <f t="shared" si="5"/>
        <v>0.9</v>
      </c>
      <c r="G29" s="13">
        <f t="shared" si="5"/>
        <v>0.91068580542264754</v>
      </c>
      <c r="H29" s="13">
        <f t="shared" si="5"/>
        <v>0.9568052159739201</v>
      </c>
      <c r="L29">
        <f t="shared" si="3"/>
        <v>2.1293302540415704</v>
      </c>
      <c r="M29">
        <f t="shared" si="4"/>
        <v>1.3100616016427105</v>
      </c>
      <c r="N29">
        <f t="shared" si="4"/>
        <v>1.1406105457909343</v>
      </c>
      <c r="O29">
        <f t="shared" si="4"/>
        <v>1.1111111111111112</v>
      </c>
      <c r="P29">
        <f t="shared" si="4"/>
        <v>1.0980735551663747</v>
      </c>
      <c r="Q29">
        <f t="shared" si="4"/>
        <v>1.045144804088586</v>
      </c>
    </row>
    <row r="30" spans="2:18" x14ac:dyDescent="0.25">
      <c r="C30" s="13">
        <f>C6/L6</f>
        <v>0.48622589531680444</v>
      </c>
      <c r="D30" s="13">
        <f>D6/M6</f>
        <v>0.86311437758383092</v>
      </c>
      <c r="E30" s="13">
        <f>E6/N6</f>
        <v>0.90506598552575568</v>
      </c>
      <c r="F30" s="13">
        <f>F6/O6</f>
        <v>0.96</v>
      </c>
      <c r="G30" s="13">
        <f>G6/P6</f>
        <v>0.96770025839793283</v>
      </c>
      <c r="L30">
        <f t="shared" si="3"/>
        <v>2.0566572237960337</v>
      </c>
      <c r="M30">
        <f t="shared" si="4"/>
        <v>1.1585949973390102</v>
      </c>
      <c r="N30">
        <f t="shared" si="4"/>
        <v>1.1048918156161807</v>
      </c>
      <c r="O30">
        <f t="shared" si="4"/>
        <v>1.0416666666666667</v>
      </c>
      <c r="P30">
        <f t="shared" si="4"/>
        <v>1.0333778371161548</v>
      </c>
    </row>
    <row r="31" spans="2:18" x14ac:dyDescent="0.25">
      <c r="C31" s="13">
        <f>C7/L7</f>
        <v>0.65276984580239861</v>
      </c>
      <c r="D31" s="13">
        <f>D7/M7</f>
        <v>0.88821752265861031</v>
      </c>
      <c r="E31" s="13">
        <f>E7/N7</f>
        <v>0.94299835255354203</v>
      </c>
      <c r="F31" s="13">
        <f>F7/O7</f>
        <v>0.95245848257896448</v>
      </c>
      <c r="L31">
        <f t="shared" si="3"/>
        <v>1.5319335083114611</v>
      </c>
      <c r="M31">
        <f t="shared" si="4"/>
        <v>1.1258503401360545</v>
      </c>
      <c r="N31">
        <f t="shared" si="4"/>
        <v>1.0604472396925226</v>
      </c>
      <c r="O31">
        <f t="shared" si="4"/>
        <v>1.04991452991453</v>
      </c>
    </row>
    <row r="32" spans="2:18" x14ac:dyDescent="0.25">
      <c r="C32" s="13">
        <f>C8/L8</f>
        <v>0.66429587482219066</v>
      </c>
      <c r="D32" s="13">
        <f>D8/M8</f>
        <v>0.77386317083162637</v>
      </c>
      <c r="E32" s="13">
        <f>E8/N8</f>
        <v>0.95795548227535032</v>
      </c>
      <c r="L32">
        <f t="shared" si="3"/>
        <v>1.5053533190578157</v>
      </c>
      <c r="M32">
        <f t="shared" si="4"/>
        <v>1.2922181048173638</v>
      </c>
      <c r="N32">
        <f t="shared" si="4"/>
        <v>1.0438898450946643</v>
      </c>
    </row>
    <row r="33" spans="2:18" x14ac:dyDescent="0.25">
      <c r="C33" s="13">
        <f>C9/L9</f>
        <v>0.54579863739591217</v>
      </c>
      <c r="D33" s="13">
        <f>D9/M9</f>
        <v>0.9101225601452565</v>
      </c>
      <c r="L33">
        <f t="shared" si="3"/>
        <v>1.8321775312066575</v>
      </c>
      <c r="M33">
        <f t="shared" si="4"/>
        <v>1.0987531172069824</v>
      </c>
    </row>
    <row r="34" spans="2:18" x14ac:dyDescent="0.25">
      <c r="C34" s="13">
        <f>C10/L10</f>
        <v>0.40700915969733176</v>
      </c>
      <c r="L34">
        <f t="shared" si="3"/>
        <v>2.4569471624266144</v>
      </c>
    </row>
    <row r="36" spans="2:18" x14ac:dyDescent="0.25">
      <c r="B36" t="s">
        <v>40</v>
      </c>
      <c r="K36" t="s">
        <v>40</v>
      </c>
    </row>
    <row r="37" spans="2:18" x14ac:dyDescent="0.25">
      <c r="C37" s="13">
        <f t="shared" ref="C37:C43" si="6">C4*(1/C28-1/C$25)^2</f>
        <v>18.605978900464567</v>
      </c>
      <c r="D37" s="13">
        <f t="shared" ref="D37:I37" si="7">D4*(1/D28-1/D$25)^2</f>
        <v>0.2490850318601831</v>
      </c>
      <c r="E37" s="13">
        <f t="shared" si="7"/>
        <v>5.3139979192290535E-2</v>
      </c>
      <c r="F37" s="13">
        <f t="shared" si="7"/>
        <v>2.7698064565011495E-3</v>
      </c>
      <c r="G37" s="13">
        <f t="shared" si="7"/>
        <v>5.8946885257228195E-2</v>
      </c>
      <c r="H37" s="13">
        <f t="shared" si="7"/>
        <v>2.9382463530504933E-2</v>
      </c>
      <c r="I37" s="13">
        <f t="shared" si="7"/>
        <v>0</v>
      </c>
      <c r="L37" s="13">
        <f>L4*(C28-C$25)^2</f>
        <v>3.1082037123808983</v>
      </c>
      <c r="M37" s="13">
        <f t="shared" ref="M37:R37" si="8">M4*(D28-D$25)^2</f>
        <v>0.15389083409100995</v>
      </c>
      <c r="N37" s="13">
        <f t="shared" si="8"/>
        <v>4.2209609732938698E-2</v>
      </c>
      <c r="O37" s="13">
        <f t="shared" si="8"/>
        <v>2.3354273267717773E-3</v>
      </c>
      <c r="P37" s="13">
        <f t="shared" si="8"/>
        <v>5.0664301860024741E-2</v>
      </c>
      <c r="Q37" s="13">
        <f t="shared" si="8"/>
        <v>2.6079504672817364E-2</v>
      </c>
      <c r="R37" s="13">
        <f t="shared" si="8"/>
        <v>0</v>
      </c>
    </row>
    <row r="38" spans="2:18" x14ac:dyDescent="0.25">
      <c r="C38" s="13">
        <f t="shared" si="6"/>
        <v>54.857449919651195</v>
      </c>
      <c r="D38" s="13">
        <f>D5*(1/D29-1/D$25)^2</f>
        <v>33.949155132970162</v>
      </c>
      <c r="E38" s="13">
        <f>E5*(1/E29-1/E$25)^2</f>
        <v>8.4603243634533616</v>
      </c>
      <c r="F38" s="13">
        <f>F5*(1/F29-1/F$25)^2</f>
        <v>6.2678887714365858</v>
      </c>
      <c r="G38" s="13">
        <f>G5*(1/G29-1/G$25)^2</f>
        <v>4.528245694640713</v>
      </c>
      <c r="H38" s="13">
        <f>H5*(1/H29-1/H$25)^2</f>
        <v>2.6304062325859016E-2</v>
      </c>
      <c r="L38" s="13">
        <f t="shared" ref="L38:Q38" si="9">L5*(C29-C$25)^2</f>
        <v>7.3074510132095849</v>
      </c>
      <c r="M38" s="13">
        <f t="shared" si="9"/>
        <v>18.672891710518829</v>
      </c>
      <c r="N38" s="13">
        <f t="shared" si="9"/>
        <v>6.3821613109542605</v>
      </c>
      <c r="O38" s="13">
        <f t="shared" si="9"/>
        <v>5.038427312615088</v>
      </c>
      <c r="P38" s="13">
        <f t="shared" si="9"/>
        <v>3.7152713500597798</v>
      </c>
      <c r="Q38" s="13">
        <f t="shared" si="9"/>
        <v>2.3188866828072686E-2</v>
      </c>
    </row>
    <row r="39" spans="2:18" x14ac:dyDescent="0.25">
      <c r="C39" s="13">
        <f t="shared" si="6"/>
        <v>45.248390680468241</v>
      </c>
      <c r="D39" s="13">
        <f>D6*(1/D30-1/D$25)^2</f>
        <v>1.4220406971077637</v>
      </c>
      <c r="E39" s="13">
        <f>E6*(1/E30-1/E$25)^2</f>
        <v>3.0623476766197979</v>
      </c>
      <c r="F39" s="13">
        <f>F6*(1/F30-1/F$25)^2</f>
        <v>1.1952784613249379</v>
      </c>
      <c r="G39" s="13">
        <f>G6*(1/G30-1/G$25)^2</f>
        <v>1.8281773778851491</v>
      </c>
      <c r="L39" s="13">
        <f>L6*(C30-C$25)^2</f>
        <v>6.240430406741778</v>
      </c>
      <c r="M39" s="13">
        <f>M6*(D30-D$25)^2</f>
        <v>0.88441215345035051</v>
      </c>
      <c r="N39" s="13">
        <f>N6*(E30-E$25)^2</f>
        <v>2.3848050617875778</v>
      </c>
      <c r="O39" s="13">
        <f>O6*(F30-F$25)^2</f>
        <v>1.0248764971774893</v>
      </c>
      <c r="P39" s="13">
        <f>P6*(G30-G$25)^2</f>
        <v>1.5938636859021527</v>
      </c>
    </row>
    <row r="40" spans="2:18" x14ac:dyDescent="0.25">
      <c r="C40" s="13">
        <f t="shared" si="6"/>
        <v>273.21357291862688</v>
      </c>
      <c r="D40" s="13">
        <f>D7*(1/D31-1/D$25)^2</f>
        <v>14.418337182387706</v>
      </c>
      <c r="E40" s="13">
        <f>E7*(1/E31-1/E$25)^2</f>
        <v>1.7746346825208508</v>
      </c>
      <c r="F40" s="13">
        <f>F7*(1/F31-1/F$25)^2</f>
        <v>0.39375575685003389</v>
      </c>
      <c r="L40" s="13">
        <f>L7*(C31-C$25)^2</f>
        <v>50.586621703211769</v>
      </c>
      <c r="M40" s="13">
        <f>M7*(D31-D$25)^2</f>
        <v>9.2280266387768997</v>
      </c>
      <c r="N40" s="13">
        <f>N7*(E31-E$25)^2</f>
        <v>1.439918940916876</v>
      </c>
      <c r="O40" s="13">
        <f>O7*(F31-F$25)^2</f>
        <v>0.33496866122091346</v>
      </c>
    </row>
    <row r="41" spans="2:18" x14ac:dyDescent="0.25">
      <c r="C41" s="13">
        <f t="shared" si="6"/>
        <v>258.90596802142659</v>
      </c>
      <c r="D41" s="13">
        <f>D8*(1/D32-1/D$25)^2</f>
        <v>49.245871474612471</v>
      </c>
      <c r="E41" s="13">
        <f>E8*(1/E32-1/E$25)^2</f>
        <v>5.4254214114619126</v>
      </c>
      <c r="L41" s="13">
        <f>L8*(C32-C$25)^2</f>
        <v>48.783947432861176</v>
      </c>
      <c r="M41" s="13">
        <f>M8*(D32-D$25)^2</f>
        <v>27.460493079094547</v>
      </c>
      <c r="N41" s="13">
        <f>N8*(E32-E$25)^2</f>
        <v>4.4719501098717762</v>
      </c>
    </row>
    <row r="42" spans="2:18" x14ac:dyDescent="0.25">
      <c r="C42" s="13">
        <f t="shared" si="6"/>
        <v>2.9809503711948517</v>
      </c>
      <c r="D42" s="13">
        <f>D9*(1/D33-1/D$25)^2</f>
        <v>25.213333561242788</v>
      </c>
      <c r="L42" s="13">
        <f>L9*(C33-C$25)^2</f>
        <v>0.4614881086259458</v>
      </c>
      <c r="M42" s="13">
        <f>M9*(D33-D$25)^2</f>
        <v>16.535010480306866</v>
      </c>
    </row>
    <row r="43" spans="2:18" x14ac:dyDescent="0.25">
      <c r="C43" s="13">
        <f t="shared" si="6"/>
        <v>685.94949077842887</v>
      </c>
      <c r="L43" s="13">
        <f>L10*(C34-C$25)^2</f>
        <v>79.189872400353323</v>
      </c>
    </row>
    <row r="45" spans="2:18" x14ac:dyDescent="0.25">
      <c r="B45" t="s">
        <v>17</v>
      </c>
      <c r="C45" s="13">
        <f>(SUM(C37:C43)/(COUNT(C37:C43)-1))^0.5</f>
        <v>14.943012868841976</v>
      </c>
      <c r="D45" s="13">
        <f>(SUM(D37:D42)/(COUNT(D37:D42)-1))^0.5</f>
        <v>4.9899463540238802</v>
      </c>
      <c r="E45" s="13">
        <f>(SUM(E37:E41)/(COUNT(E37:E41)-1))^0.5</f>
        <v>2.1665564909118</v>
      </c>
      <c r="F45" s="13">
        <f>(SUM(F37:F40)/(COUNT(F37:F40)-1))^0.5</f>
        <v>1.6186097734442828</v>
      </c>
      <c r="G45" s="13">
        <f>(SUM(G37:G39)/(COUNT(G37:G39)-1))^0.5</f>
        <v>1.7910011108013153</v>
      </c>
      <c r="H45" s="13">
        <f>(SUM(H37:H38)/(COUNT(H37:H38)-1))^0.5</f>
        <v>0.23597992680811636</v>
      </c>
      <c r="K45" t="s">
        <v>18</v>
      </c>
      <c r="L45" s="13">
        <f t="shared" ref="L45:Q45" si="10">(SUM(L37:L43)/(COUNT(L37:L43)-1))^0.5</f>
        <v>5.7107794969598862</v>
      </c>
      <c r="M45" s="13">
        <f t="shared" si="10"/>
        <v>3.8192859253069416</v>
      </c>
      <c r="N45" s="13">
        <f t="shared" si="10"/>
        <v>1.9184007032723527</v>
      </c>
      <c r="O45" s="13">
        <f t="shared" si="10"/>
        <v>1.4606628516236801</v>
      </c>
      <c r="P45" s="13">
        <f t="shared" si="10"/>
        <v>1.6370399106041913</v>
      </c>
      <c r="Q45" s="13">
        <f t="shared" si="10"/>
        <v>0.22196479788671458</v>
      </c>
    </row>
    <row r="47" spans="2:18" x14ac:dyDescent="0.25">
      <c r="B47" t="s">
        <v>19</v>
      </c>
      <c r="K47" t="s">
        <v>20</v>
      </c>
    </row>
    <row r="48" spans="2:18" x14ac:dyDescent="0.25">
      <c r="C48" s="13">
        <f t="shared" ref="C48:G49" si="11">((D4/C4-C$13)/C$23)*C4^0.5</f>
        <v>1.240062341268747</v>
      </c>
      <c r="D48" s="13">
        <f t="shared" si="11"/>
        <v>-0.45449393499898794</v>
      </c>
      <c r="E48" s="13">
        <f t="shared" si="11"/>
        <v>-0.17809621413071761</v>
      </c>
      <c r="F48" s="13">
        <f t="shared" si="11"/>
        <v>0.84558657658266334</v>
      </c>
      <c r="G48" s="13">
        <f t="shared" si="11"/>
        <v>-0.7239431061395909</v>
      </c>
      <c r="H48" s="13"/>
      <c r="L48" s="13">
        <f t="shared" ref="L48:P49" si="12">((M4/L4-L$13)/L$23)*L4^0.5</f>
        <v>1.6050203581167251</v>
      </c>
      <c r="M48" s="13">
        <f t="shared" si="12"/>
        <v>-7.8980622010297721E-2</v>
      </c>
      <c r="N48" s="13">
        <f t="shared" si="12"/>
        <v>0.2215854298979098</v>
      </c>
      <c r="O48" s="13">
        <f t="shared" si="12"/>
        <v>1.1313480458679808</v>
      </c>
      <c r="P48" s="13">
        <f t="shared" si="12"/>
        <v>0.73189378855641907</v>
      </c>
    </row>
    <row r="49" spans="2:17" x14ac:dyDescent="0.25">
      <c r="C49" s="13">
        <f t="shared" si="11"/>
        <v>-0.40954245433444925</v>
      </c>
      <c r="D49" s="13">
        <f t="shared" si="11"/>
        <v>-0.25750045767865037</v>
      </c>
      <c r="E49" s="13">
        <f t="shared" si="11"/>
        <v>0.29255115554379418</v>
      </c>
      <c r="F49" s="13">
        <f t="shared" si="11"/>
        <v>0.57165262992072785</v>
      </c>
      <c r="G49" s="13">
        <f t="shared" si="11"/>
        <v>0.68985968071265136</v>
      </c>
      <c r="L49" s="13">
        <f t="shared" si="12"/>
        <v>-1.1837235333107972</v>
      </c>
      <c r="M49" s="13">
        <f t="shared" si="12"/>
        <v>-1.0391180363455126</v>
      </c>
      <c r="N49" s="13">
        <f t="shared" si="12"/>
        <v>0.2872210142665777</v>
      </c>
      <c r="O49" s="13">
        <f t="shared" si="12"/>
        <v>9.6288253463155962E-2</v>
      </c>
      <c r="P49" s="13">
        <f t="shared" si="12"/>
        <v>-0.68141872756223232</v>
      </c>
    </row>
    <row r="50" spans="2:17" x14ac:dyDescent="0.25">
      <c r="C50" s="13">
        <f>((D6/C6-C$13)/C$23)*C6^0.5</f>
        <v>0.6277319062746155</v>
      </c>
      <c r="D50" s="13">
        <f>((E6/D6-D$13)/D$23)*D6^0.5</f>
        <v>3.5192974344164696E-3</v>
      </c>
      <c r="E50" s="13">
        <f>((F6/E6-E$13)/E$23)*E6^0.5</f>
        <v>1.2481174710715912</v>
      </c>
      <c r="F50" s="13">
        <f>((G6/F6-F$13)/F$23)*F6^0.5</f>
        <v>-0.97887517703123239</v>
      </c>
      <c r="L50" s="13">
        <f>((M6/L6-L$13)/L$23)*L6^0.5</f>
        <v>-0.84638358065977615</v>
      </c>
      <c r="M50" s="13">
        <f>((N6/M6-M$13)/M$23)*M6^0.5</f>
        <v>1.5654939027071226</v>
      </c>
      <c r="N50" s="13">
        <f>((O6/N6-N$13)/N$23)*N6^0.5</f>
        <v>-1.4151199184082404</v>
      </c>
      <c r="O50" s="13">
        <f>((P6/O6-O$13)/O$23)*O6^0.5</f>
        <v>-0.84307779673984817</v>
      </c>
    </row>
    <row r="51" spans="2:17" x14ac:dyDescent="0.25">
      <c r="C51" s="13">
        <f>((D7/C7-C$13)/C$23)*C7^0.5</f>
        <v>-0.43252066163268338</v>
      </c>
      <c r="D51" s="13">
        <f>((E7/D7-D$13)/D$23)*D7^0.5</f>
        <v>-0.98452649500080569</v>
      </c>
      <c r="E51" s="13">
        <f>((F7/E7-E$13)/E$23)*E7^0.5</f>
        <v>-1.1510422834579761</v>
      </c>
      <c r="L51" s="13">
        <f>((M7/L7-L$13)/L$23)*L7^0.5</f>
        <v>0.29945071445198246</v>
      </c>
      <c r="M51" s="13">
        <f>((N7/M7-M$13)/M$23)*M7^0.5</f>
        <v>4.8068340763223368E-3</v>
      </c>
      <c r="N51" s="13">
        <f>((O7/N7-N$13)/N$23)*N7^0.5</f>
        <v>0.93050502564193194</v>
      </c>
    </row>
    <row r="52" spans="2:17" x14ac:dyDescent="0.25">
      <c r="C52" s="13">
        <f>((D8/C8-C$13)/C$23)*C8^0.5</f>
        <v>-1.3304156610561526</v>
      </c>
      <c r="D52" s="13">
        <f>((E8/D8-D$13)/D$23)*D8^0.5</f>
        <v>1.6606697361400364</v>
      </c>
      <c r="L52" s="13">
        <f>((M8/L8-L$13)/L$23)*L8^0.5</f>
        <v>0.45813799201542571</v>
      </c>
      <c r="M52" s="13">
        <f>((N8/M8-M$13)/M$23)*M8^0.5</f>
        <v>-0.68058908514704941</v>
      </c>
    </row>
    <row r="53" spans="2:17" x14ac:dyDescent="0.25">
      <c r="C53" s="13">
        <f>((D9/C9-C$13)/C$23)*C9^0.5</f>
        <v>0.97128423635255856</v>
      </c>
      <c r="L53" s="13">
        <f>((M9/L9-L$13)/L$23)*L9^0.5</f>
        <v>8.2352480186498142E-2</v>
      </c>
    </row>
    <row r="55" spans="2:17" x14ac:dyDescent="0.25">
      <c r="B55" t="s">
        <v>21</v>
      </c>
      <c r="K55" t="s">
        <v>22</v>
      </c>
    </row>
    <row r="56" spans="2:17" x14ac:dyDescent="0.25">
      <c r="C56" s="13">
        <f>((1/C28-1/C$25)/C$45)*C4^0.5</f>
        <v>-0.28866098657010791</v>
      </c>
      <c r="D56" s="13">
        <f t="shared" ref="C56:H62" si="13">((1/D28-1/D$25)/D$45)*D4^0.5</f>
        <v>-0.10001794763896632</v>
      </c>
      <c r="E56" s="13">
        <f t="shared" si="13"/>
        <v>0.10639976596017602</v>
      </c>
      <c r="F56" s="13">
        <f t="shared" si="13"/>
        <v>3.2514909775216434E-2</v>
      </c>
      <c r="G56" s="13">
        <f t="shared" si="13"/>
        <v>-0.13556094129678459</v>
      </c>
      <c r="H56" s="13">
        <f t="shared" si="13"/>
        <v>-0.72638863526229536</v>
      </c>
      <c r="I56" s="13"/>
      <c r="L56" s="13">
        <f t="shared" ref="L56:Q56" si="14">((C28-C$25)/L$45)*L4^0.5</f>
        <v>0.30871614734944125</v>
      </c>
      <c r="M56" s="13">
        <f t="shared" si="14"/>
        <v>0.10271271388779325</v>
      </c>
      <c r="N56" s="13">
        <f t="shared" si="14"/>
        <v>-0.10709429676703278</v>
      </c>
      <c r="O56" s="13">
        <f t="shared" si="14"/>
        <v>-3.308515659915965E-2</v>
      </c>
      <c r="P56" s="13">
        <f t="shared" si="14"/>
        <v>0.13749653815066962</v>
      </c>
      <c r="Q56" s="13">
        <f t="shared" si="14"/>
        <v>0.7275545575194845</v>
      </c>
    </row>
    <row r="57" spans="2:17" x14ac:dyDescent="0.25">
      <c r="C57" s="13">
        <f t="shared" si="13"/>
        <v>0.49565516621373767</v>
      </c>
      <c r="D57" s="13">
        <f t="shared" si="13"/>
        <v>1.1676659304272199</v>
      </c>
      <c r="E57" s="13">
        <f t="shared" si="13"/>
        <v>1.3425284248727085</v>
      </c>
      <c r="F57" s="13">
        <f t="shared" si="13"/>
        <v>1.5467441497970924</v>
      </c>
      <c r="G57" s="13">
        <f t="shared" si="13"/>
        <v>1.1881441560021193</v>
      </c>
      <c r="H57" s="13">
        <f t="shared" si="13"/>
        <v>0.68728418471675889</v>
      </c>
      <c r="L57" s="13">
        <f t="shared" ref="L57:Q57" si="15">((C29-C$25)/L$45)*L5^0.5</f>
        <v>-0.4733556494078518</v>
      </c>
      <c r="M57" s="13">
        <f t="shared" si="15"/>
        <v>-1.1314193889215169</v>
      </c>
      <c r="N57" s="13">
        <f t="shared" si="15"/>
        <v>-1.3168750319610067</v>
      </c>
      <c r="O57" s="13">
        <f t="shared" si="15"/>
        <v>-1.5367298051846476</v>
      </c>
      <c r="P57" s="13">
        <f t="shared" si="15"/>
        <v>-1.1774324526340068</v>
      </c>
      <c r="Q57" s="13">
        <f t="shared" si="15"/>
        <v>-0.68604982751446486</v>
      </c>
    </row>
    <row r="58" spans="2:17" x14ac:dyDescent="0.25">
      <c r="C58" s="13">
        <f t="shared" si="13"/>
        <v>0.45015636817930527</v>
      </c>
      <c r="D58" s="13">
        <f t="shared" si="13"/>
        <v>-0.23897921826188084</v>
      </c>
      <c r="E58" s="13">
        <f t="shared" si="13"/>
        <v>0.80771329334532027</v>
      </c>
      <c r="F58" s="13">
        <f t="shared" si="13"/>
        <v>-0.67544872841953119</v>
      </c>
      <c r="G58" s="13">
        <f t="shared" si="13"/>
        <v>-0.75494151810106547</v>
      </c>
      <c r="L58" s="13">
        <f>((C30-C$25)/L$45)*L6^0.5</f>
        <v>-0.43743333979185794</v>
      </c>
      <c r="M58" s="13">
        <f>((D30-D$25)/M$45)*M6^0.5</f>
        <v>0.24623238890386945</v>
      </c>
      <c r="N58" s="13">
        <f>((E30-E$25)/N$45)*N6^0.5</f>
        <v>-0.80498375738059924</v>
      </c>
      <c r="O58" s="13">
        <f>((F30-F$25)/O$45)*O6^0.5</f>
        <v>0.6930838556663157</v>
      </c>
      <c r="P58" s="13">
        <f>((G30-G$25)/P$45)*P6^0.5</f>
        <v>0.77119875614581301</v>
      </c>
    </row>
    <row r="59" spans="2:17" x14ac:dyDescent="0.25">
      <c r="C59" s="13">
        <f t="shared" si="13"/>
        <v>-1.1061473033536731</v>
      </c>
      <c r="D59" s="13">
        <f t="shared" si="13"/>
        <v>-0.76095979596430519</v>
      </c>
      <c r="E59" s="13">
        <f t="shared" si="13"/>
        <v>-0.61487164390756044</v>
      </c>
      <c r="F59" s="13">
        <f t="shared" si="13"/>
        <v>-0.38767812807433111</v>
      </c>
      <c r="L59" s="13">
        <f>((C31-C$25)/L$45)*L7^0.5</f>
        <v>1.2454389590857009</v>
      </c>
      <c r="M59" s="13">
        <f>((D31-D$25)/M$45)*M7^0.5</f>
        <v>0.79537556976926438</v>
      </c>
      <c r="N59" s="13">
        <f>((E31-E$25)/N$45)*N7^0.5</f>
        <v>0.62550343255183782</v>
      </c>
      <c r="O59" s="13">
        <f>((F31-F$25)/O$45)*O7^0.5</f>
        <v>0.39623433380346751</v>
      </c>
    </row>
    <row r="60" spans="2:17" x14ac:dyDescent="0.25">
      <c r="C60" s="13">
        <f t="shared" si="13"/>
        <v>-1.0767945784444479</v>
      </c>
      <c r="D60" s="13">
        <f t="shared" si="13"/>
        <v>1.4063358149593845</v>
      </c>
      <c r="E60" s="13">
        <f t="shared" si="13"/>
        <v>-1.0750947007050566</v>
      </c>
      <c r="L60" s="13">
        <f>((C32-C$25)/L$45)*L8^0.5</f>
        <v>1.2230468062538244</v>
      </c>
      <c r="M60" s="13">
        <f>((D32-D$25)/M$45)*M8^0.5</f>
        <v>-1.3720564923331939</v>
      </c>
      <c r="N60" s="13">
        <f>((E32-E$25)/N$45)*N8^0.5</f>
        <v>1.1023237128978733</v>
      </c>
    </row>
    <row r="61" spans="2:17" x14ac:dyDescent="0.25">
      <c r="C61" s="13">
        <f t="shared" si="13"/>
        <v>-0.11554181951122038</v>
      </c>
      <c r="D61" s="13">
        <f t="shared" si="13"/>
        <v>-1.0062809661307575</v>
      </c>
      <c r="L61" s="13">
        <f>((C33-C$25)/L$45)*L9^0.5</f>
        <v>0.11895559285687603</v>
      </c>
      <c r="M61" s="13">
        <f>((D33-D$25)/M$45)*M9^0.5</f>
        <v>1.0646823753089509</v>
      </c>
    </row>
    <row r="62" spans="2:17" x14ac:dyDescent="0.25">
      <c r="C62" s="13">
        <f t="shared" si="13"/>
        <v>1.7527012587105932</v>
      </c>
      <c r="L62" s="13">
        <f>((C34-C$25)/L$45)*L10^0.5</f>
        <v>-1.5582582323253884</v>
      </c>
    </row>
    <row r="64" spans="2:17" x14ac:dyDescent="0.25">
      <c r="C64" s="13"/>
      <c r="L64" s="13"/>
    </row>
    <row r="65" spans="3:15" x14ac:dyDescent="0.25">
      <c r="C65" t="s">
        <v>43</v>
      </c>
      <c r="D65" t="s">
        <v>44</v>
      </c>
      <c r="E65" t="s">
        <v>46</v>
      </c>
      <c r="F65" t="s">
        <v>47</v>
      </c>
      <c r="L65" t="s">
        <v>43</v>
      </c>
      <c r="M65" t="s">
        <v>44</v>
      </c>
      <c r="N65" t="s">
        <v>46</v>
      </c>
      <c r="O65" t="s">
        <v>47</v>
      </c>
    </row>
    <row r="66" spans="3:15" x14ac:dyDescent="0.25">
      <c r="C66" s="13">
        <f t="shared" ref="C66:C71" si="16">C56</f>
        <v>-0.28866098657010791</v>
      </c>
      <c r="D66" s="13">
        <f t="shared" ref="D66:D71" si="17">C48</f>
        <v>1.240062341268747</v>
      </c>
      <c r="E66" s="13">
        <f>C66-C$87</f>
        <v>-0.46020473737829803</v>
      </c>
      <c r="F66" s="13">
        <f>D66-D$87</f>
        <v>1.1775584119767193</v>
      </c>
      <c r="L66" s="13">
        <f t="shared" ref="L66:L71" si="18">L56</f>
        <v>0.30871614734944125</v>
      </c>
      <c r="M66" s="13">
        <f t="shared" ref="M66:M71" si="19">L48</f>
        <v>1.6050203581167251</v>
      </c>
      <c r="N66" s="13">
        <f>L66-L$87</f>
        <v>0.45341131567470527</v>
      </c>
      <c r="O66" s="13">
        <f>M66-M$87</f>
        <v>1.5727357311635102</v>
      </c>
    </row>
    <row r="67" spans="3:15" x14ac:dyDescent="0.25">
      <c r="C67" s="13">
        <f t="shared" si="16"/>
        <v>0.49565516621373767</v>
      </c>
      <c r="D67" s="13">
        <f t="shared" si="17"/>
        <v>-0.40954245433444925</v>
      </c>
      <c r="E67" s="13">
        <f>C67-C$87</f>
        <v>0.32411141540554755</v>
      </c>
      <c r="F67" s="13">
        <f t="shared" ref="F67:F85" si="20">D67-D$87</f>
        <v>-0.47204638362647705</v>
      </c>
      <c r="L67" s="13">
        <f t="shared" si="18"/>
        <v>-0.4733556494078518</v>
      </c>
      <c r="M67" s="13">
        <f t="shared" si="19"/>
        <v>-1.1837235333107972</v>
      </c>
      <c r="N67" s="13">
        <f>L67-L$87</f>
        <v>-0.32866048108258772</v>
      </c>
      <c r="O67" s="13">
        <f t="shared" ref="O67:O85" si="21">M67-M$87</f>
        <v>-1.216008160264012</v>
      </c>
    </row>
    <row r="68" spans="3:15" x14ac:dyDescent="0.25">
      <c r="C68" s="13">
        <f t="shared" si="16"/>
        <v>0.45015636817930527</v>
      </c>
      <c r="D68" s="13">
        <f t="shared" si="17"/>
        <v>0.6277319062746155</v>
      </c>
      <c r="E68" s="13">
        <f t="shared" ref="E68:E85" si="22">C68-C$87</f>
        <v>0.27861261737111515</v>
      </c>
      <c r="F68" s="13">
        <f t="shared" si="20"/>
        <v>0.56522797698258764</v>
      </c>
      <c r="L68" s="13">
        <f t="shared" si="18"/>
        <v>-0.43743333979185794</v>
      </c>
      <c r="M68" s="13">
        <f t="shared" si="19"/>
        <v>-0.84638358065977615</v>
      </c>
      <c r="N68" s="13">
        <f t="shared" ref="N68:N85" si="23">L68-L$87</f>
        <v>-0.29273817146659387</v>
      </c>
      <c r="O68" s="13">
        <f t="shared" si="21"/>
        <v>-0.87866820761299103</v>
      </c>
    </row>
    <row r="69" spans="3:15" x14ac:dyDescent="0.25">
      <c r="C69" s="13">
        <f t="shared" si="16"/>
        <v>-1.1061473033536731</v>
      </c>
      <c r="D69" s="13">
        <f t="shared" si="17"/>
        <v>-0.43252066163268338</v>
      </c>
      <c r="E69" s="13">
        <f t="shared" si="22"/>
        <v>-1.2776910541618631</v>
      </c>
      <c r="F69" s="13">
        <f t="shared" si="20"/>
        <v>-0.49502459092471118</v>
      </c>
      <c r="L69" s="13">
        <f t="shared" si="18"/>
        <v>1.2454389590857009</v>
      </c>
      <c r="M69" s="13">
        <f t="shared" si="19"/>
        <v>0.29945071445198246</v>
      </c>
      <c r="N69" s="13">
        <f t="shared" si="23"/>
        <v>1.3901341274109649</v>
      </c>
      <c r="O69" s="13">
        <f t="shared" si="21"/>
        <v>0.26716608749876758</v>
      </c>
    </row>
    <row r="70" spans="3:15" x14ac:dyDescent="0.25">
      <c r="C70" s="13">
        <f t="shared" si="16"/>
        <v>-1.0767945784444479</v>
      </c>
      <c r="D70" s="13">
        <f t="shared" si="17"/>
        <v>-1.3304156610561526</v>
      </c>
      <c r="E70" s="13">
        <f t="shared" si="22"/>
        <v>-1.248338329252638</v>
      </c>
      <c r="F70" s="13">
        <f t="shared" si="20"/>
        <v>-1.3929195903481804</v>
      </c>
      <c r="L70" s="13">
        <f t="shared" si="18"/>
        <v>1.2230468062538244</v>
      </c>
      <c r="M70" s="13">
        <f t="shared" si="19"/>
        <v>0.45813799201542571</v>
      </c>
      <c r="N70" s="13">
        <f t="shared" si="23"/>
        <v>1.3677419745790884</v>
      </c>
      <c r="O70" s="13">
        <f t="shared" si="21"/>
        <v>0.42585336506221083</v>
      </c>
    </row>
    <row r="71" spans="3:15" x14ac:dyDescent="0.25">
      <c r="C71" s="13">
        <f t="shared" si="16"/>
        <v>-0.11554181951122038</v>
      </c>
      <c r="D71" s="13">
        <f t="shared" si="17"/>
        <v>0.97128423635255856</v>
      </c>
      <c r="E71" s="13">
        <f t="shared" si="22"/>
        <v>-0.28708557031941051</v>
      </c>
      <c r="F71" s="13">
        <f t="shared" si="20"/>
        <v>0.9087803070605307</v>
      </c>
      <c r="L71" s="13">
        <f t="shared" si="18"/>
        <v>0.11895559285687603</v>
      </c>
      <c r="M71" s="13">
        <f t="shared" si="19"/>
        <v>8.2352480186498142E-2</v>
      </c>
      <c r="N71" s="13">
        <f t="shared" si="23"/>
        <v>0.26365076118214009</v>
      </c>
      <c r="O71" s="13">
        <f t="shared" si="21"/>
        <v>5.0067853233283249E-2</v>
      </c>
    </row>
    <row r="72" spans="3:15" x14ac:dyDescent="0.25">
      <c r="C72" s="13">
        <f>D56</f>
        <v>-0.10001794763896632</v>
      </c>
      <c r="D72" s="13">
        <f>D48</f>
        <v>-0.45449393499898794</v>
      </c>
      <c r="E72" s="13">
        <f t="shared" si="22"/>
        <v>-0.27156169844715644</v>
      </c>
      <c r="F72" s="13">
        <f t="shared" si="20"/>
        <v>-0.5169978642910158</v>
      </c>
      <c r="L72" s="13">
        <f>M56</f>
        <v>0.10271271388779325</v>
      </c>
      <c r="M72" s="13">
        <f>M48</f>
        <v>-7.8980622010297721E-2</v>
      </c>
      <c r="N72" s="13">
        <f t="shared" si="23"/>
        <v>0.24740788221305732</v>
      </c>
      <c r="O72" s="13">
        <f t="shared" si="21"/>
        <v>-0.11126524896351261</v>
      </c>
    </row>
    <row r="73" spans="3:15" x14ac:dyDescent="0.25">
      <c r="C73" s="13">
        <f>D57</f>
        <v>1.1676659304272199</v>
      </c>
      <c r="D73" s="13">
        <f>D49</f>
        <v>-0.25750045767865037</v>
      </c>
      <c r="E73" s="13">
        <f t="shared" si="22"/>
        <v>0.99612217961902982</v>
      </c>
      <c r="F73" s="13">
        <f t="shared" si="20"/>
        <v>-0.32000438697067818</v>
      </c>
      <c r="L73" s="13">
        <f>M57</f>
        <v>-1.1314193889215169</v>
      </c>
      <c r="M73" s="13">
        <f>M49</f>
        <v>-1.0391180363455126</v>
      </c>
      <c r="N73" s="13">
        <f t="shared" si="23"/>
        <v>-0.98672422059625287</v>
      </c>
      <c r="O73" s="13">
        <f t="shared" si="21"/>
        <v>-1.0714026632987275</v>
      </c>
    </row>
    <row r="74" spans="3:15" x14ac:dyDescent="0.25">
      <c r="C74" s="13">
        <f>D58</f>
        <v>-0.23897921826188084</v>
      </c>
      <c r="D74" s="13">
        <f>D50</f>
        <v>3.5192974344164696E-3</v>
      </c>
      <c r="E74" s="13">
        <f t="shared" si="22"/>
        <v>-0.41052296907007096</v>
      </c>
      <c r="F74" s="13">
        <f t="shared" si="20"/>
        <v>-5.8984631857611332E-2</v>
      </c>
      <c r="L74" s="13">
        <f>M58</f>
        <v>0.24623238890386945</v>
      </c>
      <c r="M74" s="13">
        <f>M50</f>
        <v>1.5654939027071226</v>
      </c>
      <c r="N74" s="13">
        <f t="shared" si="23"/>
        <v>0.39092755722913353</v>
      </c>
      <c r="O74" s="13">
        <f t="shared" si="21"/>
        <v>1.5332092757539078</v>
      </c>
    </row>
    <row r="75" spans="3:15" x14ac:dyDescent="0.25">
      <c r="C75" s="13">
        <f>D59</f>
        <v>-0.76095979596430519</v>
      </c>
      <c r="D75" s="13">
        <f>D51</f>
        <v>-0.98452649500080569</v>
      </c>
      <c r="E75" s="13">
        <f t="shared" si="22"/>
        <v>-0.93250354677249536</v>
      </c>
      <c r="F75" s="13">
        <f t="shared" si="20"/>
        <v>-1.0470304242928334</v>
      </c>
      <c r="L75" s="13">
        <f>M59</f>
        <v>0.79537556976926438</v>
      </c>
      <c r="M75" s="13">
        <f>M51</f>
        <v>4.8068340763223368E-3</v>
      </c>
      <c r="N75" s="13">
        <f t="shared" si="23"/>
        <v>0.94007073809452846</v>
      </c>
      <c r="O75" s="13">
        <f t="shared" si="21"/>
        <v>-2.7477792876892556E-2</v>
      </c>
    </row>
    <row r="76" spans="3:15" x14ac:dyDescent="0.25">
      <c r="C76" s="13">
        <f>D60</f>
        <v>1.4063358149593845</v>
      </c>
      <c r="D76" s="13">
        <f>D52</f>
        <v>1.6606697361400364</v>
      </c>
      <c r="E76" s="13">
        <f t="shared" si="22"/>
        <v>1.2347920641511945</v>
      </c>
      <c r="F76" s="13">
        <f t="shared" si="20"/>
        <v>1.5981658068480087</v>
      </c>
      <c r="L76" s="13">
        <f>M60</f>
        <v>-1.3720564923331939</v>
      </c>
      <c r="M76" s="13">
        <f>M52</f>
        <v>-0.68058908514704941</v>
      </c>
      <c r="N76" s="13">
        <f t="shared" si="23"/>
        <v>-1.22736132400793</v>
      </c>
      <c r="O76" s="13">
        <f t="shared" si="21"/>
        <v>-0.71287371210026429</v>
      </c>
    </row>
    <row r="77" spans="3:15" x14ac:dyDescent="0.25">
      <c r="C77" s="13">
        <f>E56</f>
        <v>0.10639976596017602</v>
      </c>
      <c r="D77" s="13">
        <f>E48</f>
        <v>-0.17809621413071761</v>
      </c>
      <c r="E77" s="13">
        <f t="shared" si="22"/>
        <v>-6.5143984848014105E-2</v>
      </c>
      <c r="F77" s="13">
        <f t="shared" si="20"/>
        <v>-0.24060014342274541</v>
      </c>
      <c r="L77" s="13">
        <f>N56</f>
        <v>-0.10709429676703278</v>
      </c>
      <c r="M77" s="13">
        <f>N48</f>
        <v>0.2215854298979098</v>
      </c>
      <c r="N77" s="13">
        <f t="shared" si="23"/>
        <v>3.7600871558231275E-2</v>
      </c>
      <c r="O77" s="13">
        <f t="shared" si="21"/>
        <v>0.18930080294469492</v>
      </c>
    </row>
    <row r="78" spans="3:15" x14ac:dyDescent="0.25">
      <c r="C78" s="13">
        <f>E57</f>
        <v>1.3425284248727085</v>
      </c>
      <c r="D78" s="13">
        <f>E49</f>
        <v>0.29255115554379418</v>
      </c>
      <c r="E78" s="13">
        <f t="shared" si="22"/>
        <v>1.1709846740645184</v>
      </c>
      <c r="F78" s="13">
        <f t="shared" si="20"/>
        <v>0.23004722625176638</v>
      </c>
      <c r="L78" s="13">
        <f>N57</f>
        <v>-1.3168750319610067</v>
      </c>
      <c r="M78" s="13">
        <f>N49</f>
        <v>0.2872210142665777</v>
      </c>
      <c r="N78" s="13">
        <f t="shared" si="23"/>
        <v>-1.1721798636357428</v>
      </c>
      <c r="O78" s="13">
        <f t="shared" si="21"/>
        <v>0.25493638731336282</v>
      </c>
    </row>
    <row r="79" spans="3:15" x14ac:dyDescent="0.25">
      <c r="C79" s="13">
        <f>E58</f>
        <v>0.80771329334532027</v>
      </c>
      <c r="D79" s="13">
        <f>E50</f>
        <v>1.2481174710715912</v>
      </c>
      <c r="E79" s="13">
        <f t="shared" si="22"/>
        <v>0.63616954253713009</v>
      </c>
      <c r="F79" s="13">
        <f t="shared" si="20"/>
        <v>1.1856135417795635</v>
      </c>
      <c r="L79" s="13">
        <f>N58</f>
        <v>-0.80498375738059924</v>
      </c>
      <c r="M79" s="13">
        <f>N50</f>
        <v>-1.4151199184082404</v>
      </c>
      <c r="N79" s="13">
        <f t="shared" si="23"/>
        <v>-0.66028858905533516</v>
      </c>
      <c r="O79" s="13">
        <f t="shared" si="21"/>
        <v>-1.4474045453614552</v>
      </c>
    </row>
    <row r="80" spans="3:15" x14ac:dyDescent="0.25">
      <c r="C80" s="13">
        <f>E59</f>
        <v>-0.61487164390756044</v>
      </c>
      <c r="D80" s="13">
        <f>E51</f>
        <v>-1.1510422834579761</v>
      </c>
      <c r="E80" s="13">
        <f t="shared" si="22"/>
        <v>-0.78641539471575062</v>
      </c>
      <c r="F80" s="13">
        <f t="shared" si="20"/>
        <v>-1.2135462127500038</v>
      </c>
      <c r="L80" s="13">
        <f>N59</f>
        <v>0.62550343255183782</v>
      </c>
      <c r="M80" s="13">
        <f>N51</f>
        <v>0.93050502564193194</v>
      </c>
      <c r="N80" s="13">
        <f t="shared" si="23"/>
        <v>0.7701986008771019</v>
      </c>
      <c r="O80" s="13">
        <f t="shared" si="21"/>
        <v>0.89822039868871706</v>
      </c>
    </row>
    <row r="81" spans="2:17" x14ac:dyDescent="0.25">
      <c r="C81" s="13">
        <f>F56</f>
        <v>3.2514909775216434E-2</v>
      </c>
      <c r="D81" s="13">
        <f>F48</f>
        <v>0.84558657658266334</v>
      </c>
      <c r="E81" s="13">
        <f t="shared" si="22"/>
        <v>-0.13902884103297369</v>
      </c>
      <c r="F81" s="13">
        <f t="shared" si="20"/>
        <v>0.78308264729063559</v>
      </c>
      <c r="L81" s="13">
        <f>O56</f>
        <v>-3.308515659915965E-2</v>
      </c>
      <c r="M81" s="13">
        <f>O48</f>
        <v>1.1313480458679808</v>
      </c>
      <c r="N81" s="13">
        <f t="shared" si="23"/>
        <v>0.11161001172610441</v>
      </c>
      <c r="O81" s="13">
        <f t="shared" si="21"/>
        <v>1.0990634189147659</v>
      </c>
    </row>
    <row r="82" spans="2:17" x14ac:dyDescent="0.25">
      <c r="C82" s="13">
        <f>F57</f>
        <v>1.5467441497970924</v>
      </c>
      <c r="D82" s="13">
        <f>F49</f>
        <v>0.57165262992072785</v>
      </c>
      <c r="E82" s="13">
        <f t="shared" si="22"/>
        <v>1.3752003989889023</v>
      </c>
      <c r="F82" s="13">
        <f t="shared" si="20"/>
        <v>0.5091487006287001</v>
      </c>
      <c r="L82" s="13">
        <f>O57</f>
        <v>-1.5367298051846476</v>
      </c>
      <c r="M82" s="13">
        <f>O49</f>
        <v>9.6288253463155962E-2</v>
      </c>
      <c r="N82" s="13">
        <f t="shared" si="23"/>
        <v>-1.3920346368593837</v>
      </c>
      <c r="O82" s="13">
        <f t="shared" si="21"/>
        <v>6.400362650994107E-2</v>
      </c>
    </row>
    <row r="83" spans="2:17" x14ac:dyDescent="0.25">
      <c r="C83" s="13">
        <f>F58</f>
        <v>-0.67544872841953119</v>
      </c>
      <c r="D83" s="13">
        <f>F50</f>
        <v>-0.97887517703123239</v>
      </c>
      <c r="E83" s="13">
        <f t="shared" si="22"/>
        <v>-0.84699247922772125</v>
      </c>
      <c r="F83" s="13">
        <f t="shared" si="20"/>
        <v>-1.0413791063232603</v>
      </c>
      <c r="L83" s="13">
        <f>O58</f>
        <v>0.6930838556663157</v>
      </c>
      <c r="M83" s="13">
        <f>O50</f>
        <v>-0.84307779673984817</v>
      </c>
      <c r="N83" s="13">
        <f t="shared" si="23"/>
        <v>0.83777902399157977</v>
      </c>
      <c r="O83" s="13">
        <f t="shared" si="21"/>
        <v>-0.87536242369306305</v>
      </c>
    </row>
    <row r="84" spans="2:17" x14ac:dyDescent="0.25">
      <c r="C84" s="13">
        <f>G56</f>
        <v>-0.13556094129678459</v>
      </c>
      <c r="D84" s="13">
        <f>G48</f>
        <v>-0.7239431061395909</v>
      </c>
      <c r="E84" s="13">
        <f t="shared" si="22"/>
        <v>-0.30710469210497471</v>
      </c>
      <c r="F84" s="13">
        <f t="shared" si="20"/>
        <v>-0.78644703543161865</v>
      </c>
      <c r="L84" s="13">
        <f>P56</f>
        <v>0.13749653815066962</v>
      </c>
      <c r="M84" s="13">
        <f>P48</f>
        <v>0.73189378855641907</v>
      </c>
      <c r="N84" s="13">
        <f t="shared" si="23"/>
        <v>0.28219170647593367</v>
      </c>
      <c r="O84" s="13">
        <f t="shared" si="21"/>
        <v>0.69960916160320419</v>
      </c>
    </row>
    <row r="85" spans="2:17" x14ac:dyDescent="0.25">
      <c r="C85" s="13">
        <f>G57</f>
        <v>1.1881441560021193</v>
      </c>
      <c r="D85" s="13">
        <f>G49</f>
        <v>0.68985968071265136</v>
      </c>
      <c r="E85" s="13">
        <f t="shared" si="22"/>
        <v>1.0166004051939292</v>
      </c>
      <c r="F85" s="13">
        <f t="shared" si="20"/>
        <v>0.62735575142062361</v>
      </c>
      <c r="L85" s="13">
        <f>P57</f>
        <v>-1.1774324526340068</v>
      </c>
      <c r="M85" s="13">
        <f>P49</f>
        <v>-0.68141872756223232</v>
      </c>
      <c r="N85" s="13">
        <f t="shared" si="23"/>
        <v>-1.0327372843087428</v>
      </c>
      <c r="O85" s="13">
        <f t="shared" si="21"/>
        <v>-0.7137033545154472</v>
      </c>
    </row>
    <row r="87" spans="2:17" x14ac:dyDescent="0.25">
      <c r="B87" t="s">
        <v>45</v>
      </c>
      <c r="C87" s="13">
        <f>SUM(C66:C85)/COUNT(C66:C85)</f>
        <v>0.17154375080819012</v>
      </c>
      <c r="D87" s="13">
        <f>SUM(D66:D85)/COUNT(D66:D85)</f>
        <v>6.2503929292027804E-2</v>
      </c>
      <c r="K87" t="s">
        <v>45</v>
      </c>
      <c r="L87" s="13">
        <f>SUM(L66:L85)/COUNT(L66:L85)</f>
        <v>-0.14469516832526405</v>
      </c>
      <c r="M87" s="13">
        <f>SUM(M66:M85)/COUNT(M66:M85)</f>
        <v>3.2284626953214893E-2</v>
      </c>
    </row>
    <row r="88" spans="2:17" x14ac:dyDescent="0.25">
      <c r="B88" t="s">
        <v>49</v>
      </c>
      <c r="C88" s="13">
        <f>SUMPRODUCT(E66:E85,E66:E85)/(COUNT(C66:C85))</f>
        <v>0.67254160519331752</v>
      </c>
      <c r="D88" s="13">
        <f>SUMPRODUCT(F66:F85,F66:F85)/(COUNT(D66:D85))</f>
        <v>0.7460932588230571</v>
      </c>
      <c r="K88" t="s">
        <v>49</v>
      </c>
      <c r="L88" s="13">
        <f>SUMPRODUCT(N66:N85,N66:N85)/(COUNT(L66:L85))</f>
        <v>0.70263410747903177</v>
      </c>
      <c r="M88" s="13">
        <f>SUMPRODUCT(O66:O85,O66:O85)/(COUNT(M66:M85))</f>
        <v>0.74895770286249186</v>
      </c>
    </row>
    <row r="89" spans="2:17" x14ac:dyDescent="0.25">
      <c r="B89" t="s">
        <v>48</v>
      </c>
      <c r="C89" s="13">
        <f>SUMPRODUCT(E66:E85,F66:F85)/COUNT(C66:C85)</f>
        <v>0.43574510756270834</v>
      </c>
      <c r="D89" s="13"/>
      <c r="K89" t="s">
        <v>48</v>
      </c>
      <c r="L89" s="13">
        <f>SUMPRODUCT(N66:N85,O66:O85)/COUNT(L66:L85)</f>
        <v>0.32028370124886635</v>
      </c>
      <c r="M89" s="13"/>
    </row>
    <row r="91" spans="2:17" x14ac:dyDescent="0.25">
      <c r="B91" t="s">
        <v>41</v>
      </c>
      <c r="C91" s="13">
        <f>C89/(C88*D88)^0.5</f>
        <v>0.615143421048717</v>
      </c>
      <c r="K91" t="s">
        <v>41</v>
      </c>
      <c r="L91" s="13">
        <f>L89/(L88*M88)^0.5</f>
        <v>0.44151105153998199</v>
      </c>
      <c r="N91">
        <v>0.449610072565574</v>
      </c>
    </row>
    <row r="92" spans="2:17" x14ac:dyDescent="0.25">
      <c r="B92" t="s">
        <v>42</v>
      </c>
      <c r="C92" s="13">
        <f>SUMPRODUCT(C66:C85,D66:D85)/SUMPRODUCT(C66:C85,C66:C85)</f>
        <v>0.63602146642515034</v>
      </c>
      <c r="K92" t="s">
        <v>42</v>
      </c>
      <c r="L92" s="13">
        <f>SUMPRODUCT(L66:L85,M66:M85)/SUMPRODUCT(L66:L85,L66:L85)</f>
        <v>0.43618713201203052</v>
      </c>
      <c r="N92">
        <f>SUMPRODUCT(L66:L85,M66:M85)/SUMPRODUCT(L66:L85,L66:L85)</f>
        <v>0.43618713201203052</v>
      </c>
    </row>
    <row r="93" spans="2:17" x14ac:dyDescent="0.25">
      <c r="C93" s="13"/>
      <c r="L93" s="13"/>
    </row>
    <row r="94" spans="2:17" x14ac:dyDescent="0.25">
      <c r="B94" t="s">
        <v>52</v>
      </c>
      <c r="C94" s="13">
        <f>C13</f>
        <v>2.4366863905325444</v>
      </c>
      <c r="D94" s="13">
        <f t="shared" ref="D94:H94" si="24">D13</f>
        <v>1.13124246079614</v>
      </c>
      <c r="E94" s="13">
        <f t="shared" si="24"/>
        <v>1.0293450524525092</v>
      </c>
      <c r="F94" s="13">
        <f t="shared" si="24"/>
        <v>1.0207564575645756</v>
      </c>
      <c r="G94" s="13">
        <f t="shared" si="24"/>
        <v>1.0211106011932078</v>
      </c>
      <c r="H94" s="13">
        <f t="shared" si="24"/>
        <v>1.0137963843958135</v>
      </c>
      <c r="I94" s="13"/>
      <c r="K94" t="s">
        <v>56</v>
      </c>
      <c r="L94" s="13">
        <f t="shared" ref="L94:Q94" si="25">L13</f>
        <v>1.6520909957771421</v>
      </c>
      <c r="M94" s="13">
        <f t="shared" si="25"/>
        <v>1.018639798488665</v>
      </c>
      <c r="N94" s="13">
        <f t="shared" si="25"/>
        <v>0.99986985944820406</v>
      </c>
      <c r="O94" s="13">
        <f t="shared" si="25"/>
        <v>1.0110581092801387</v>
      </c>
      <c r="P94" s="13">
        <f t="shared" si="25"/>
        <v>0.99017513882955999</v>
      </c>
      <c r="Q94" s="13">
        <f t="shared" si="25"/>
        <v>0.99633363886342807</v>
      </c>
    </row>
    <row r="95" spans="2:17" x14ac:dyDescent="0.25">
      <c r="B95" t="s">
        <v>50</v>
      </c>
      <c r="C95" s="13">
        <f>C13+$C$92*(C$23/C$45)*(L34-1/(C$25))</f>
        <v>2.7684685106054427</v>
      </c>
      <c r="D95" s="13">
        <f>D13+$C$92*(D$23/D$45)*(M33-1/(D$25))</f>
        <v>1.0941941083831339</v>
      </c>
      <c r="E95" s="13">
        <f>E13+$C$92*(E$23/E$45)*(N32-1/(E$25))</f>
        <v>1.0245111877324504</v>
      </c>
      <c r="F95" s="13">
        <f>F13+$C$92*(F$23/F$45)*(O31-1/(F$25))</f>
        <v>1.0200794548404275</v>
      </c>
      <c r="G95" s="13">
        <f>G13+$C$92*(G$23/G$45)*(P30-1/(G$25))</f>
        <v>1.0176816607744559</v>
      </c>
      <c r="H95" s="13">
        <f>H94</f>
        <v>1.0137963843958135</v>
      </c>
      <c r="K95" t="s">
        <v>57</v>
      </c>
      <c r="L95" s="13">
        <f>L13+$L$92*(L23/L45)*(C34-C25)</f>
        <v>1.5587933560151921</v>
      </c>
      <c r="M95" s="13">
        <f>M13+$L$92*(M23/M45)*(D33-D25)</f>
        <v>1.0364418626694007</v>
      </c>
      <c r="N95" s="13">
        <f>N13+$L$92*(N23/N45)*(E32-E25)</f>
        <v>1.0068006053103045</v>
      </c>
      <c r="O95" s="13">
        <f>O13+$L$92*(O23/O45)*(F31-F25)</f>
        <v>1.01132296519132</v>
      </c>
      <c r="P95" s="13">
        <f>P13+$L$92*(P23/P45)*(G30-G25)</f>
        <v>0.99442192273816443</v>
      </c>
      <c r="Q95" s="13">
        <f>Q94</f>
        <v>0.99633363886342807</v>
      </c>
    </row>
    <row r="97" spans="2:26" x14ac:dyDescent="0.25">
      <c r="B97" t="s">
        <v>50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K97" t="s">
        <v>51</v>
      </c>
      <c r="L97">
        <v>1</v>
      </c>
      <c r="M97">
        <v>2</v>
      </c>
      <c r="N97">
        <v>3</v>
      </c>
      <c r="O97">
        <v>4</v>
      </c>
      <c r="P97">
        <v>5</v>
      </c>
      <c r="Q97">
        <v>6</v>
      </c>
      <c r="R97">
        <v>7</v>
      </c>
    </row>
    <row r="98" spans="2:26" x14ac:dyDescent="0.25">
      <c r="B98">
        <v>1</v>
      </c>
      <c r="C98">
        <f>C4</f>
        <v>576</v>
      </c>
      <c r="D98">
        <f t="shared" ref="D98:I98" si="26">D4</f>
        <v>1804</v>
      </c>
      <c r="E98">
        <f t="shared" si="26"/>
        <v>1970</v>
      </c>
      <c r="F98">
        <f t="shared" si="26"/>
        <v>2024</v>
      </c>
      <c r="G98">
        <f t="shared" si="26"/>
        <v>2074</v>
      </c>
      <c r="H98">
        <f t="shared" si="26"/>
        <v>2102</v>
      </c>
      <c r="I98">
        <f t="shared" si="26"/>
        <v>2131</v>
      </c>
      <c r="K98">
        <v>1</v>
      </c>
      <c r="L98">
        <f t="shared" ref="L98:R98" si="27">L4</f>
        <v>978</v>
      </c>
      <c r="M98">
        <f t="shared" si="27"/>
        <v>2104</v>
      </c>
      <c r="N98">
        <f t="shared" si="27"/>
        <v>2134</v>
      </c>
      <c r="O98">
        <f t="shared" si="27"/>
        <v>2144</v>
      </c>
      <c r="P98">
        <f t="shared" si="27"/>
        <v>2174</v>
      </c>
      <c r="Q98">
        <f t="shared" si="27"/>
        <v>2182</v>
      </c>
      <c r="R98">
        <f t="shared" si="27"/>
        <v>2174</v>
      </c>
      <c r="T98" s="19"/>
      <c r="U98" s="19"/>
      <c r="V98" s="19"/>
      <c r="W98" s="19"/>
      <c r="X98" s="19"/>
      <c r="Y98" s="19"/>
      <c r="Z98" s="19"/>
    </row>
    <row r="99" spans="2:26" x14ac:dyDescent="0.25">
      <c r="B99">
        <v>2</v>
      </c>
      <c r="C99">
        <f t="shared" ref="C99:H99" si="28">C5</f>
        <v>866</v>
      </c>
      <c r="D99">
        <f t="shared" si="28"/>
        <v>1948</v>
      </c>
      <c r="E99">
        <f t="shared" si="28"/>
        <v>2162</v>
      </c>
      <c r="F99">
        <f t="shared" si="28"/>
        <v>2232</v>
      </c>
      <c r="G99">
        <f t="shared" si="28"/>
        <v>2284</v>
      </c>
      <c r="H99">
        <f t="shared" si="28"/>
        <v>2348</v>
      </c>
      <c r="I99" s="14">
        <f t="shared" ref="I99:I104" si="29">H99*H$95</f>
        <v>2380.3939105613704</v>
      </c>
      <c r="K99">
        <v>2</v>
      </c>
      <c r="L99">
        <f t="shared" ref="L99:Q99" si="30">L5</f>
        <v>1844</v>
      </c>
      <c r="M99">
        <f t="shared" si="30"/>
        <v>2552</v>
      </c>
      <c r="N99">
        <f t="shared" si="30"/>
        <v>2466</v>
      </c>
      <c r="O99">
        <f t="shared" si="30"/>
        <v>2480</v>
      </c>
      <c r="P99">
        <f t="shared" si="30"/>
        <v>2508</v>
      </c>
      <c r="Q99">
        <f t="shared" si="30"/>
        <v>2454</v>
      </c>
      <c r="R99" s="15">
        <f t="shared" ref="R99:R104" si="31">Q99*Q$95</f>
        <v>2445.0027497708525</v>
      </c>
      <c r="T99" s="19"/>
      <c r="U99" s="19"/>
      <c r="V99" s="19"/>
      <c r="W99" s="19"/>
      <c r="X99" s="19"/>
      <c r="Y99" s="19"/>
      <c r="Z99" s="19"/>
    </row>
    <row r="100" spans="2:26" x14ac:dyDescent="0.25">
      <c r="B100">
        <v>3</v>
      </c>
      <c r="C100">
        <f>C6</f>
        <v>1412</v>
      </c>
      <c r="D100">
        <f>D6</f>
        <v>3758</v>
      </c>
      <c r="E100">
        <f>E6</f>
        <v>4252</v>
      </c>
      <c r="F100">
        <f>F6</f>
        <v>4416</v>
      </c>
      <c r="G100">
        <f>G6</f>
        <v>4494</v>
      </c>
      <c r="H100" s="15">
        <f>G100*G$95</f>
        <v>4573.4613835204045</v>
      </c>
      <c r="I100" s="14">
        <f t="shared" si="29"/>
        <v>4636.5586147868617</v>
      </c>
      <c r="K100">
        <v>3</v>
      </c>
      <c r="L100">
        <f>L6</f>
        <v>2904</v>
      </c>
      <c r="M100">
        <f>M6</f>
        <v>4354</v>
      </c>
      <c r="N100">
        <f>N6</f>
        <v>4698</v>
      </c>
      <c r="O100">
        <f>O6</f>
        <v>4600</v>
      </c>
      <c r="P100">
        <f>P6</f>
        <v>4644</v>
      </c>
      <c r="Q100" s="15">
        <f>P100*P$95</f>
        <v>4618.0954091960357</v>
      </c>
      <c r="R100" s="15">
        <f t="shared" si="31"/>
        <v>4601.1638036627783</v>
      </c>
      <c r="T100" s="19"/>
      <c r="U100" s="19"/>
      <c r="V100" s="19"/>
      <c r="W100" s="19"/>
      <c r="X100" s="19"/>
      <c r="Y100" s="19"/>
      <c r="Z100" s="19"/>
    </row>
    <row r="101" spans="2:26" x14ac:dyDescent="0.25">
      <c r="B101">
        <v>4</v>
      </c>
      <c r="C101">
        <f>C7</f>
        <v>2286</v>
      </c>
      <c r="D101">
        <f>D7</f>
        <v>5292</v>
      </c>
      <c r="E101">
        <f>E7</f>
        <v>5724</v>
      </c>
      <c r="F101">
        <f>F7</f>
        <v>5850</v>
      </c>
      <c r="G101" s="15">
        <f>F101*F$95</f>
        <v>5967.4648108165011</v>
      </c>
      <c r="H101" s="15">
        <f>G101*G$95</f>
        <v>6072.979499284861</v>
      </c>
      <c r="I101" s="14">
        <f t="shared" si="29"/>
        <v>6156.7646588848902</v>
      </c>
      <c r="K101">
        <v>4</v>
      </c>
      <c r="L101">
        <f>L7</f>
        <v>3502</v>
      </c>
      <c r="M101">
        <f>M7</f>
        <v>5958</v>
      </c>
      <c r="N101">
        <f>N7</f>
        <v>6070</v>
      </c>
      <c r="O101">
        <f>O7</f>
        <v>6142</v>
      </c>
      <c r="P101" s="15">
        <f>O101*O$95</f>
        <v>6211.5456522050872</v>
      </c>
      <c r="Q101" s="15">
        <f>P101*P$95</f>
        <v>6176.8971706416687</v>
      </c>
      <c r="R101" s="15">
        <f t="shared" si="31"/>
        <v>6154.2504349106266</v>
      </c>
      <c r="T101" s="19"/>
      <c r="U101" s="19"/>
      <c r="V101" s="19"/>
      <c r="W101" s="19"/>
      <c r="X101" s="19"/>
      <c r="Y101" s="19"/>
      <c r="Z101" s="19"/>
    </row>
    <row r="102" spans="2:26" x14ac:dyDescent="0.25">
      <c r="B102">
        <v>5</v>
      </c>
      <c r="C102">
        <f>C8</f>
        <v>1868</v>
      </c>
      <c r="D102">
        <f>D8</f>
        <v>3778</v>
      </c>
      <c r="E102">
        <f>E8</f>
        <v>4648</v>
      </c>
      <c r="F102" s="15">
        <f>E102*E$95</f>
        <v>4761.9280005804294</v>
      </c>
      <c r="G102" s="15">
        <f>F102*F$95</f>
        <v>4857.5449188214516</v>
      </c>
      <c r="H102" s="15">
        <f>G102*G$95</f>
        <v>4943.4343802727344</v>
      </c>
      <c r="I102" s="14">
        <f t="shared" si="29"/>
        <v>5011.6359012184575</v>
      </c>
      <c r="K102">
        <v>5</v>
      </c>
      <c r="L102">
        <f>L8</f>
        <v>2812</v>
      </c>
      <c r="M102">
        <f>M8</f>
        <v>4882</v>
      </c>
      <c r="N102">
        <f>N8</f>
        <v>4852</v>
      </c>
      <c r="O102" s="15">
        <f>N102*N$95</f>
        <v>4884.9965369655974</v>
      </c>
      <c r="P102" s="15">
        <f>O102*O$95</f>
        <v>4940.3091827133776</v>
      </c>
      <c r="Q102" s="15">
        <f>P102*P$95</f>
        <v>4912.7517563948468</v>
      </c>
      <c r="R102" s="15">
        <f t="shared" si="31"/>
        <v>4894.739834281575</v>
      </c>
      <c r="T102" s="19"/>
      <c r="U102" s="19"/>
      <c r="V102" s="19"/>
      <c r="W102" s="19"/>
      <c r="X102" s="19"/>
      <c r="Y102" s="19"/>
      <c r="Z102" s="19"/>
    </row>
    <row r="103" spans="2:26" x14ac:dyDescent="0.25">
      <c r="B103">
        <v>6</v>
      </c>
      <c r="C103">
        <f>C9</f>
        <v>1442</v>
      </c>
      <c r="D103">
        <f>D9</f>
        <v>4010</v>
      </c>
      <c r="E103" s="15">
        <f>D103*D$95</f>
        <v>4387.7183746163673</v>
      </c>
      <c r="F103" s="15">
        <f>E103*E$95</f>
        <v>4495.2665634137111</v>
      </c>
      <c r="G103" s="15">
        <f>F103*F$95</f>
        <v>4585.5290653694601</v>
      </c>
      <c r="H103" s="15">
        <f>G103*G$95</f>
        <v>4666.6088347747309</v>
      </c>
      <c r="I103" s="14">
        <f t="shared" si="29"/>
        <v>4730.9911640841829</v>
      </c>
      <c r="K103">
        <v>6</v>
      </c>
      <c r="L103">
        <f>L9</f>
        <v>2642</v>
      </c>
      <c r="M103">
        <f>M9</f>
        <v>4406</v>
      </c>
      <c r="N103" s="15">
        <f>M103*M$95</f>
        <v>4566.5628469213798</v>
      </c>
      <c r="O103" s="15">
        <f>N103*N$95</f>
        <v>4597.6182384679923</v>
      </c>
      <c r="P103" s="15">
        <f>O103*O$95</f>
        <v>4649.6769097451433</v>
      </c>
      <c r="Q103" s="15">
        <f>P103*P$95</f>
        <v>4623.7406527000121</v>
      </c>
      <c r="R103" s="15">
        <f t="shared" si="31"/>
        <v>4606.7883496653649</v>
      </c>
      <c r="T103" s="19"/>
      <c r="U103" s="19"/>
      <c r="V103" s="19"/>
      <c r="W103" s="19"/>
      <c r="X103" s="19"/>
      <c r="Y103" s="19"/>
      <c r="Z103" s="19"/>
    </row>
    <row r="104" spans="2:26" x14ac:dyDescent="0.25">
      <c r="B104">
        <v>7</v>
      </c>
      <c r="C104">
        <f>C10</f>
        <v>2044</v>
      </c>
      <c r="D104" s="15">
        <f>C104*C$95</f>
        <v>5658.7496356775246</v>
      </c>
      <c r="E104" s="15">
        <f>D104*D$95</f>
        <v>6191.7705121735526</v>
      </c>
      <c r="F104" s="15">
        <f>E104*E$95</f>
        <v>6343.5381615936894</v>
      </c>
      <c r="G104" s="15">
        <f>F104*F$95</f>
        <v>6470.9129496379383</v>
      </c>
      <c r="H104" s="15">
        <f>G104*G$95</f>
        <v>6585.3294373144699</v>
      </c>
      <c r="I104" s="14">
        <f t="shared" si="29"/>
        <v>6676.183173604727</v>
      </c>
      <c r="K104">
        <v>7</v>
      </c>
      <c r="L104">
        <f>L10</f>
        <v>5022</v>
      </c>
      <c r="M104" s="15">
        <f>L104*L$95</f>
        <v>7828.260233908295</v>
      </c>
      <c r="N104" s="15">
        <f>M104*M$95</f>
        <v>8113.5366182927119</v>
      </c>
      <c r="O104" s="15">
        <f>N104*N$95</f>
        <v>8168.7135785044229</v>
      </c>
      <c r="P104" s="15">
        <f>O104*O$95</f>
        <v>8261.2076380116923</v>
      </c>
      <c r="Q104" s="15">
        <f>P104*P$95</f>
        <v>8215.1259835307974</v>
      </c>
      <c r="R104" s="15">
        <f t="shared" si="31"/>
        <v>8185.006364892738</v>
      </c>
      <c r="T104" s="19"/>
      <c r="U104" s="19"/>
      <c r="V104" s="19"/>
      <c r="W104" s="19"/>
      <c r="X104" s="19"/>
      <c r="Y104" s="19"/>
      <c r="Z104" s="19"/>
    </row>
    <row r="106" spans="2:26" x14ac:dyDescent="0.25">
      <c r="B106" t="s">
        <v>52</v>
      </c>
      <c r="C106">
        <v>1</v>
      </c>
      <c r="D106">
        <v>2</v>
      </c>
      <c r="E106">
        <v>3</v>
      </c>
      <c r="F106">
        <v>4</v>
      </c>
      <c r="G106">
        <v>5</v>
      </c>
      <c r="H106">
        <v>6</v>
      </c>
      <c r="I106">
        <v>7</v>
      </c>
      <c r="K106" t="s">
        <v>53</v>
      </c>
      <c r="L106">
        <v>1</v>
      </c>
      <c r="M106">
        <v>2</v>
      </c>
      <c r="N106">
        <v>3</v>
      </c>
      <c r="O106">
        <v>4</v>
      </c>
      <c r="P106">
        <v>5</v>
      </c>
      <c r="Q106">
        <v>6</v>
      </c>
      <c r="R106">
        <v>7</v>
      </c>
    </row>
    <row r="107" spans="2:26" x14ac:dyDescent="0.25">
      <c r="B107">
        <v>1</v>
      </c>
      <c r="C107">
        <f>C4</f>
        <v>576</v>
      </c>
      <c r="D107">
        <f t="shared" ref="D107:I107" si="32">D4</f>
        <v>1804</v>
      </c>
      <c r="E107">
        <f t="shared" si="32"/>
        <v>1970</v>
      </c>
      <c r="F107">
        <f t="shared" si="32"/>
        <v>2024</v>
      </c>
      <c r="G107">
        <f t="shared" si="32"/>
        <v>2074</v>
      </c>
      <c r="H107">
        <f t="shared" si="32"/>
        <v>2102</v>
      </c>
      <c r="I107">
        <f t="shared" si="32"/>
        <v>2131</v>
      </c>
      <c r="K107">
        <v>1</v>
      </c>
      <c r="L107">
        <f>L4</f>
        <v>978</v>
      </c>
      <c r="M107">
        <f t="shared" ref="M107:R107" si="33">M4</f>
        <v>2104</v>
      </c>
      <c r="N107">
        <f t="shared" si="33"/>
        <v>2134</v>
      </c>
      <c r="O107">
        <f t="shared" si="33"/>
        <v>2144</v>
      </c>
      <c r="P107">
        <f t="shared" si="33"/>
        <v>2174</v>
      </c>
      <c r="Q107">
        <f t="shared" si="33"/>
        <v>2182</v>
      </c>
      <c r="R107">
        <f t="shared" si="33"/>
        <v>2174</v>
      </c>
      <c r="T107" s="19"/>
      <c r="U107" s="19"/>
      <c r="V107" s="19"/>
      <c r="W107" s="19"/>
      <c r="X107" s="19"/>
      <c r="Y107" s="19"/>
      <c r="Z107" s="19"/>
    </row>
    <row r="108" spans="2:26" x14ac:dyDescent="0.25">
      <c r="B108">
        <v>2</v>
      </c>
      <c r="C108">
        <f t="shared" ref="C108:H108" si="34">C5</f>
        <v>866</v>
      </c>
      <c r="D108">
        <f t="shared" si="34"/>
        <v>1948</v>
      </c>
      <c r="E108">
        <f t="shared" si="34"/>
        <v>2162</v>
      </c>
      <c r="F108">
        <f t="shared" si="34"/>
        <v>2232</v>
      </c>
      <c r="G108">
        <f t="shared" si="34"/>
        <v>2284</v>
      </c>
      <c r="H108">
        <f t="shared" si="34"/>
        <v>2348</v>
      </c>
      <c r="I108" s="15">
        <f t="shared" ref="I108:I113" si="35">H108*H$94</f>
        <v>2380.3939105613704</v>
      </c>
      <c r="K108">
        <v>2</v>
      </c>
      <c r="L108">
        <f t="shared" ref="L108:Q108" si="36">L5</f>
        <v>1844</v>
      </c>
      <c r="M108">
        <f t="shared" si="36"/>
        <v>2552</v>
      </c>
      <c r="N108">
        <f t="shared" si="36"/>
        <v>2466</v>
      </c>
      <c r="O108">
        <f t="shared" si="36"/>
        <v>2480</v>
      </c>
      <c r="P108">
        <f t="shared" si="36"/>
        <v>2508</v>
      </c>
      <c r="Q108">
        <f t="shared" si="36"/>
        <v>2454</v>
      </c>
      <c r="R108" s="15">
        <f t="shared" ref="R108:R113" si="37">Q108*Q$94</f>
        <v>2445.0027497708525</v>
      </c>
      <c r="T108" s="19"/>
      <c r="U108" s="19"/>
      <c r="V108" s="19"/>
      <c r="W108" s="19"/>
      <c r="X108" s="19"/>
      <c r="Y108" s="19"/>
      <c r="Z108" s="19"/>
    </row>
    <row r="109" spans="2:26" x14ac:dyDescent="0.25">
      <c r="B109">
        <v>3</v>
      </c>
      <c r="C109">
        <f>C6</f>
        <v>1412</v>
      </c>
      <c r="D109">
        <f>D6</f>
        <v>3758</v>
      </c>
      <c r="E109">
        <f>E6</f>
        <v>4252</v>
      </c>
      <c r="F109">
        <f>F6</f>
        <v>4416</v>
      </c>
      <c r="G109">
        <f>G6</f>
        <v>4494</v>
      </c>
      <c r="H109" s="15">
        <f>G109*G$94</f>
        <v>4588.871041762276</v>
      </c>
      <c r="I109" s="15">
        <f t="shared" si="35"/>
        <v>4652.1808705972453</v>
      </c>
      <c r="K109">
        <v>3</v>
      </c>
      <c r="L109">
        <f>L6</f>
        <v>2904</v>
      </c>
      <c r="M109">
        <f>M6</f>
        <v>4354</v>
      </c>
      <c r="N109">
        <f>N6</f>
        <v>4698</v>
      </c>
      <c r="O109">
        <f>O6</f>
        <v>4600</v>
      </c>
      <c r="P109">
        <f>P6</f>
        <v>4644</v>
      </c>
      <c r="Q109" s="15">
        <f>P109*P$94</f>
        <v>4598.3733447244767</v>
      </c>
      <c r="R109" s="15">
        <f t="shared" si="37"/>
        <v>4581.5140474019308</v>
      </c>
      <c r="T109" s="19"/>
      <c r="U109" s="19"/>
      <c r="V109" s="19"/>
      <c r="W109" s="19"/>
      <c r="X109" s="19"/>
      <c r="Y109" s="19"/>
      <c r="Z109" s="19"/>
    </row>
    <row r="110" spans="2:26" x14ac:dyDescent="0.25">
      <c r="B110">
        <v>4</v>
      </c>
      <c r="C110">
        <f>C7</f>
        <v>2286</v>
      </c>
      <c r="D110">
        <f>D7</f>
        <v>5292</v>
      </c>
      <c r="E110">
        <f>E7</f>
        <v>5724</v>
      </c>
      <c r="F110">
        <f>F7</f>
        <v>5850</v>
      </c>
      <c r="G110" s="15">
        <f>F110*F$94</f>
        <v>5971.4252767527669</v>
      </c>
      <c r="H110" s="15">
        <f>G110*G$94</f>
        <v>6097.4856543253354</v>
      </c>
      <c r="I110" s="15">
        <f t="shared" si="35"/>
        <v>6181.6089102603664</v>
      </c>
      <c r="K110">
        <v>4</v>
      </c>
      <c r="L110">
        <f>L7</f>
        <v>3502</v>
      </c>
      <c r="M110">
        <f>M7</f>
        <v>5958</v>
      </c>
      <c r="N110">
        <f>N7</f>
        <v>6070</v>
      </c>
      <c r="O110">
        <f>O7</f>
        <v>6142</v>
      </c>
      <c r="P110" s="15">
        <f>O110*O$94</f>
        <v>6209.918907198612</v>
      </c>
      <c r="Q110" s="15">
        <f>P110*P$94</f>
        <v>6148.9073160556954</v>
      </c>
      <c r="R110" s="15">
        <f t="shared" si="37"/>
        <v>6126.3632012397256</v>
      </c>
      <c r="T110" s="19"/>
      <c r="U110" s="19"/>
      <c r="V110" s="19"/>
      <c r="W110" s="19"/>
      <c r="X110" s="19"/>
      <c r="Y110" s="19"/>
      <c r="Z110" s="19"/>
    </row>
    <row r="111" spans="2:26" x14ac:dyDescent="0.25">
      <c r="B111">
        <v>5</v>
      </c>
      <c r="C111">
        <f>C8</f>
        <v>1868</v>
      </c>
      <c r="D111">
        <f>D8</f>
        <v>3778</v>
      </c>
      <c r="E111">
        <f>E8</f>
        <v>4648</v>
      </c>
      <c r="F111" s="15">
        <f>E111*E$94</f>
        <v>4784.3958037992625</v>
      </c>
      <c r="G111" s="15">
        <f>F111*F$94</f>
        <v>4883.7029122729555</v>
      </c>
      <c r="H111" s="15">
        <f>G111*G$94</f>
        <v>4986.8008168000579</v>
      </c>
      <c r="I111" s="15">
        <f t="shared" si="35"/>
        <v>5055.6006377739886</v>
      </c>
      <c r="K111">
        <v>5</v>
      </c>
      <c r="L111">
        <f>L8</f>
        <v>2812</v>
      </c>
      <c r="M111">
        <f>M8</f>
        <v>4882</v>
      </c>
      <c r="N111">
        <f>N8</f>
        <v>4852</v>
      </c>
      <c r="O111" s="15">
        <f>N111*N$94</f>
        <v>4851.3685580426863</v>
      </c>
      <c r="P111" s="15">
        <f>O111*O$94</f>
        <v>4905.0155217157517</v>
      </c>
      <c r="Q111" s="15">
        <f>P111*P$94</f>
        <v>4856.8244251760407</v>
      </c>
      <c r="R111" s="15">
        <f t="shared" si="37"/>
        <v>4839.0175528564223</v>
      </c>
      <c r="T111" s="19"/>
      <c r="U111" s="19"/>
      <c r="V111" s="19"/>
      <c r="W111" s="19"/>
      <c r="X111" s="19"/>
      <c r="Y111" s="19"/>
      <c r="Z111" s="19"/>
    </row>
    <row r="112" spans="2:26" x14ac:dyDescent="0.25">
      <c r="B112">
        <v>6</v>
      </c>
      <c r="C112">
        <f>C9</f>
        <v>1442</v>
      </c>
      <c r="D112">
        <f>D9</f>
        <v>4010</v>
      </c>
      <c r="E112" s="15">
        <f>D112*D$94</f>
        <v>4536.2822677925215</v>
      </c>
      <c r="F112" s="15">
        <f>E112*E$94</f>
        <v>4669.3997088802798</v>
      </c>
      <c r="G112" s="15">
        <f>F112*F$94</f>
        <v>4766.3199057896945</v>
      </c>
      <c r="H112" s="15">
        <f>G112*G$94</f>
        <v>4866.9397844800687</v>
      </c>
      <c r="I112" s="15">
        <f t="shared" si="35"/>
        <v>4934.0859565780338</v>
      </c>
      <c r="K112">
        <v>6</v>
      </c>
      <c r="L112">
        <f>L9</f>
        <v>2642</v>
      </c>
      <c r="M112">
        <f>M9</f>
        <v>4406</v>
      </c>
      <c r="N112" s="15">
        <f>M112*M$94</f>
        <v>4488.1269521410586</v>
      </c>
      <c r="O112" s="15">
        <f>N112*N$94</f>
        <v>4487.5428648229763</v>
      </c>
      <c r="P112" s="15">
        <f>O112*O$94</f>
        <v>4537.1666042214956</v>
      </c>
      <c r="Q112" s="15">
        <f>P112*P$94</f>
        <v>4492.5895722278628</v>
      </c>
      <c r="R112" s="15">
        <f t="shared" si="37"/>
        <v>4476.1181164176787</v>
      </c>
      <c r="T112" s="19"/>
      <c r="U112" s="19"/>
      <c r="V112" s="19"/>
      <c r="W112" s="19"/>
      <c r="X112" s="19"/>
      <c r="Y112" s="19"/>
      <c r="Z112" s="19"/>
    </row>
    <row r="113" spans="2:26" x14ac:dyDescent="0.25">
      <c r="B113">
        <v>7</v>
      </c>
      <c r="C113">
        <f>C10</f>
        <v>2044</v>
      </c>
      <c r="D113" s="15">
        <f>C113*C$94</f>
        <v>4980.5869822485211</v>
      </c>
      <c r="E113" s="15">
        <f>D113*D$94</f>
        <v>5634.2514740080378</v>
      </c>
      <c r="F113" s="15">
        <f>E113*E$94</f>
        <v>5799.588879043431</v>
      </c>
      <c r="G113" s="15">
        <f>F113*F$94</f>
        <v>5919.9677995032807</v>
      </c>
      <c r="H113" s="15">
        <f>G113*G$94</f>
        <v>6044.9418787952263</v>
      </c>
      <c r="I113" s="15">
        <f t="shared" si="35"/>
        <v>6128.340220605437</v>
      </c>
      <c r="K113">
        <v>7</v>
      </c>
      <c r="L113">
        <f>L10</f>
        <v>5022</v>
      </c>
      <c r="M113" s="15">
        <f>L113*L$94</f>
        <v>8296.8009807928083</v>
      </c>
      <c r="N113" s="15">
        <f>M113*M$94</f>
        <v>8451.4516791753449</v>
      </c>
      <c r="O113" s="15">
        <f>N113*N$94</f>
        <v>8450.3518025903395</v>
      </c>
      <c r="P113" s="15">
        <f>O113*O$94</f>
        <v>8543.796716279001</v>
      </c>
      <c r="Q113" s="15">
        <f>P113*P$94</f>
        <v>8459.8550996730992</v>
      </c>
      <c r="R113" s="15">
        <f t="shared" si="37"/>
        <v>8428.8382157146279</v>
      </c>
      <c r="T113" s="19"/>
      <c r="U113" s="19"/>
      <c r="V113" s="19"/>
      <c r="W113" s="19"/>
      <c r="X113" s="19"/>
      <c r="Y113" s="19"/>
      <c r="Z113" s="19"/>
    </row>
    <row r="115" spans="2:26" x14ac:dyDescent="0.25">
      <c r="C115" t="s">
        <v>55</v>
      </c>
      <c r="G115" t="s">
        <v>58</v>
      </c>
      <c r="K115" t="s">
        <v>59</v>
      </c>
    </row>
    <row r="116" spans="2:26" x14ac:dyDescent="0.25">
      <c r="B116" t="s">
        <v>54</v>
      </c>
      <c r="C116" t="s">
        <v>52</v>
      </c>
      <c r="D116" t="s">
        <v>56</v>
      </c>
      <c r="E116" t="s">
        <v>50</v>
      </c>
      <c r="F116" t="s">
        <v>57</v>
      </c>
      <c r="G116" t="s">
        <v>52</v>
      </c>
      <c r="H116" t="s">
        <v>56</v>
      </c>
      <c r="I116" t="s">
        <v>50</v>
      </c>
      <c r="J116" t="s">
        <v>57</v>
      </c>
      <c r="K116" t="s">
        <v>52</v>
      </c>
      <c r="L116" t="s">
        <v>56</v>
      </c>
      <c r="M116" t="s">
        <v>50</v>
      </c>
      <c r="N116" t="s">
        <v>57</v>
      </c>
      <c r="P116" t="s">
        <v>61</v>
      </c>
      <c r="Q116" t="s">
        <v>62</v>
      </c>
    </row>
    <row r="117" spans="2:26" x14ac:dyDescent="0.25">
      <c r="B117">
        <v>1</v>
      </c>
      <c r="C117" s="16">
        <f>I107</f>
        <v>2131</v>
      </c>
      <c r="D117" s="16">
        <f>R107</f>
        <v>2174</v>
      </c>
      <c r="E117" s="16">
        <f>I98</f>
        <v>2131</v>
      </c>
      <c r="F117" s="16">
        <f>R98</f>
        <v>2174</v>
      </c>
      <c r="G117" s="16">
        <f>I107</f>
        <v>2131</v>
      </c>
      <c r="H117" s="16">
        <f>R107</f>
        <v>2174</v>
      </c>
      <c r="I117" s="16">
        <f>I98</f>
        <v>2131</v>
      </c>
      <c r="J117" s="16">
        <f>R98</f>
        <v>2174</v>
      </c>
      <c r="K117" s="16">
        <f>C117-G117</f>
        <v>0</v>
      </c>
      <c r="L117" s="16">
        <f t="shared" ref="L117:L123" si="38">D117-H117</f>
        <v>0</v>
      </c>
      <c r="M117" s="16">
        <f t="shared" ref="M117:M123" si="39">E117-I117</f>
        <v>0</v>
      </c>
      <c r="N117" s="16">
        <f t="shared" ref="N117:N123" si="40">F117-J117</f>
        <v>0</v>
      </c>
      <c r="P117" s="18">
        <f>C117/D117</f>
        <v>0.98022079116835326</v>
      </c>
      <c r="Q117" s="18">
        <f>E117/F117</f>
        <v>0.98022079116835326</v>
      </c>
    </row>
    <row r="118" spans="2:26" x14ac:dyDescent="0.25">
      <c r="B118">
        <v>2</v>
      </c>
      <c r="C118" s="16">
        <f>I108</f>
        <v>2380.3939105613704</v>
      </c>
      <c r="D118" s="16">
        <f t="shared" ref="D118:D123" si="41">R108</f>
        <v>2445.0027497708525</v>
      </c>
      <c r="E118" s="16">
        <f t="shared" ref="E118:E123" si="42">I99</f>
        <v>2380.3939105613704</v>
      </c>
      <c r="F118" s="16">
        <f t="shared" ref="F118:F123" si="43">R99</f>
        <v>2445.0027497708525</v>
      </c>
      <c r="G118" s="16">
        <f>H108</f>
        <v>2348</v>
      </c>
      <c r="H118" s="16">
        <f>Q108</f>
        <v>2454</v>
      </c>
      <c r="I118" s="16">
        <f>H99</f>
        <v>2348</v>
      </c>
      <c r="J118" s="16">
        <f>Q99</f>
        <v>2454</v>
      </c>
      <c r="K118" s="16">
        <f t="shared" ref="K118:K123" si="44">C118-G118</f>
        <v>32.393910561370376</v>
      </c>
      <c r="L118" s="16">
        <f t="shared" si="38"/>
        <v>-8.9972502291475394</v>
      </c>
      <c r="M118" s="16">
        <f t="shared" si="39"/>
        <v>32.393910561370376</v>
      </c>
      <c r="N118" s="16">
        <f t="shared" si="40"/>
        <v>-8.9972502291475394</v>
      </c>
      <c r="P118" s="18">
        <f t="shared" ref="P118:P123" si="45">C118/D118</f>
        <v>0.97357514660646605</v>
      </c>
      <c r="Q118" s="18">
        <f t="shared" ref="Q118:Q123" si="46">E118/F118</f>
        <v>0.97357514660646605</v>
      </c>
    </row>
    <row r="119" spans="2:26" x14ac:dyDescent="0.25">
      <c r="B119">
        <v>3</v>
      </c>
      <c r="C119" s="16">
        <f>I109</f>
        <v>4652.1808705972453</v>
      </c>
      <c r="D119" s="16">
        <f t="shared" si="41"/>
        <v>4581.5140474019308</v>
      </c>
      <c r="E119" s="16">
        <f t="shared" si="42"/>
        <v>4636.5586147868617</v>
      </c>
      <c r="F119" s="16">
        <f t="shared" si="43"/>
        <v>4601.1638036627783</v>
      </c>
      <c r="G119" s="16">
        <f>G109</f>
        <v>4494</v>
      </c>
      <c r="H119" s="16">
        <f>P109</f>
        <v>4644</v>
      </c>
      <c r="I119" s="16">
        <f>G100</f>
        <v>4494</v>
      </c>
      <c r="J119" s="16">
        <f>P100</f>
        <v>4644</v>
      </c>
      <c r="K119" s="16">
        <f t="shared" si="44"/>
        <v>158.1808705972453</v>
      </c>
      <c r="L119" s="16">
        <f t="shared" si="38"/>
        <v>-62.485952598069161</v>
      </c>
      <c r="M119" s="16">
        <f t="shared" si="39"/>
        <v>142.55861478686165</v>
      </c>
      <c r="N119" s="16">
        <f t="shared" si="40"/>
        <v>-42.836196337221736</v>
      </c>
      <c r="P119" s="18">
        <f t="shared" si="45"/>
        <v>1.0154243384313943</v>
      </c>
      <c r="Q119" s="18">
        <f t="shared" si="46"/>
        <v>1.0076925779290682</v>
      </c>
    </row>
    <row r="120" spans="2:26" x14ac:dyDescent="0.25">
      <c r="B120">
        <v>4</v>
      </c>
      <c r="C120" s="16">
        <f t="shared" ref="C120:C123" si="47">I110</f>
        <v>6181.6089102603664</v>
      </c>
      <c r="D120" s="16">
        <f t="shared" si="41"/>
        <v>6126.3632012397256</v>
      </c>
      <c r="E120" s="16">
        <f t="shared" si="42"/>
        <v>6156.7646588848902</v>
      </c>
      <c r="F120" s="16">
        <f t="shared" si="43"/>
        <v>6154.2504349106266</v>
      </c>
      <c r="G120" s="16">
        <f>F110</f>
        <v>5850</v>
      </c>
      <c r="H120" s="16">
        <f>O110</f>
        <v>6142</v>
      </c>
      <c r="I120" s="16">
        <f>F101</f>
        <v>5850</v>
      </c>
      <c r="J120" s="16">
        <f>O101</f>
        <v>6142</v>
      </c>
      <c r="K120" s="16">
        <f t="shared" si="44"/>
        <v>331.60891026036643</v>
      </c>
      <c r="L120" s="16">
        <f t="shared" si="38"/>
        <v>-15.63679876027436</v>
      </c>
      <c r="M120" s="16">
        <f t="shared" si="39"/>
        <v>306.7646588848902</v>
      </c>
      <c r="N120" s="16">
        <f t="shared" si="40"/>
        <v>12.250434910626609</v>
      </c>
      <c r="P120" s="18">
        <f t="shared" si="45"/>
        <v>1.0090177005844938</v>
      </c>
      <c r="Q120" s="18">
        <f t="shared" si="46"/>
        <v>1.0004085345568652</v>
      </c>
    </row>
    <row r="121" spans="2:26" x14ac:dyDescent="0.25">
      <c r="B121">
        <v>5</v>
      </c>
      <c r="C121" s="16">
        <f t="shared" si="47"/>
        <v>5055.6006377739886</v>
      </c>
      <c r="D121" s="16">
        <f t="shared" si="41"/>
        <v>4839.0175528564223</v>
      </c>
      <c r="E121" s="16">
        <f t="shared" si="42"/>
        <v>5011.6359012184575</v>
      </c>
      <c r="F121" s="16">
        <f t="shared" si="43"/>
        <v>4894.739834281575</v>
      </c>
      <c r="G121" s="16">
        <f>E111</f>
        <v>4648</v>
      </c>
      <c r="H121" s="16">
        <f>N111</f>
        <v>4852</v>
      </c>
      <c r="I121" s="16">
        <f>E102</f>
        <v>4648</v>
      </c>
      <c r="J121" s="16">
        <f>N102</f>
        <v>4852</v>
      </c>
      <c r="K121" s="16">
        <f t="shared" si="44"/>
        <v>407.60063777398864</v>
      </c>
      <c r="L121" s="16">
        <f t="shared" si="38"/>
        <v>-12.982447143577701</v>
      </c>
      <c r="M121" s="16">
        <f t="shared" si="39"/>
        <v>363.63590121845755</v>
      </c>
      <c r="N121" s="16">
        <f t="shared" si="40"/>
        <v>42.739834281574986</v>
      </c>
      <c r="P121" s="18">
        <f t="shared" si="45"/>
        <v>1.044757656394472</v>
      </c>
      <c r="Q121" s="18">
        <f t="shared" si="46"/>
        <v>1.0238819775707324</v>
      </c>
    </row>
    <row r="122" spans="2:26" x14ac:dyDescent="0.25">
      <c r="B122">
        <v>6</v>
      </c>
      <c r="C122" s="16">
        <f t="shared" si="47"/>
        <v>4934.0859565780338</v>
      </c>
      <c r="D122" s="16">
        <f t="shared" si="41"/>
        <v>4476.1181164176787</v>
      </c>
      <c r="E122" s="16">
        <f t="shared" si="42"/>
        <v>4730.9911640841829</v>
      </c>
      <c r="F122" s="16">
        <f t="shared" si="43"/>
        <v>4606.7883496653649</v>
      </c>
      <c r="G122" s="16">
        <f>D112</f>
        <v>4010</v>
      </c>
      <c r="H122" s="16">
        <f>M112</f>
        <v>4406</v>
      </c>
      <c r="I122" s="16">
        <f>D103</f>
        <v>4010</v>
      </c>
      <c r="J122" s="16">
        <f>M103</f>
        <v>4406</v>
      </c>
      <c r="K122" s="16">
        <f t="shared" si="44"/>
        <v>924.0859565780338</v>
      </c>
      <c r="L122" s="16">
        <f t="shared" si="38"/>
        <v>70.118116417678721</v>
      </c>
      <c r="M122" s="16">
        <f t="shared" si="39"/>
        <v>720.99116408418286</v>
      </c>
      <c r="N122" s="16">
        <f t="shared" si="40"/>
        <v>200.78834966536488</v>
      </c>
      <c r="P122" s="18">
        <f t="shared" si="45"/>
        <v>1.1023136182400108</v>
      </c>
      <c r="Q122" s="18">
        <f t="shared" si="46"/>
        <v>1.0269608249807787</v>
      </c>
    </row>
    <row r="123" spans="2:26" x14ac:dyDescent="0.25">
      <c r="B123">
        <v>7</v>
      </c>
      <c r="C123" s="16">
        <f t="shared" si="47"/>
        <v>6128.340220605437</v>
      </c>
      <c r="D123" s="16">
        <f t="shared" si="41"/>
        <v>8428.8382157146279</v>
      </c>
      <c r="E123" s="16">
        <f t="shared" si="42"/>
        <v>6676.183173604727</v>
      </c>
      <c r="F123" s="16">
        <f t="shared" si="43"/>
        <v>8185.006364892738</v>
      </c>
      <c r="G123" s="16">
        <f>C113</f>
        <v>2044</v>
      </c>
      <c r="H123" s="16">
        <f>L113</f>
        <v>5022</v>
      </c>
      <c r="I123" s="16">
        <f>C104</f>
        <v>2044</v>
      </c>
      <c r="J123" s="16">
        <f>L104</f>
        <v>5022</v>
      </c>
      <c r="K123" s="16">
        <f t="shared" si="44"/>
        <v>4084.340220605437</v>
      </c>
      <c r="L123" s="16">
        <f t="shared" si="38"/>
        <v>3406.8382157146279</v>
      </c>
      <c r="M123" s="16">
        <f t="shared" si="39"/>
        <v>4632.183173604727</v>
      </c>
      <c r="N123" s="16">
        <f t="shared" si="40"/>
        <v>3163.006364892738</v>
      </c>
      <c r="P123" s="18">
        <f t="shared" si="45"/>
        <v>0.72706819893396823</v>
      </c>
      <c r="Q123" s="18">
        <f t="shared" si="46"/>
        <v>0.81566010776000375</v>
      </c>
    </row>
  </sheetData>
  <phoneticPr fontId="5" type="noConversion"/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Movis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 Nyabuti</dc:creator>
  <cp:lastModifiedBy>Peter Decsi</cp:lastModifiedBy>
  <dcterms:created xsi:type="dcterms:W3CDTF">2009-04-19T21:07:09Z</dcterms:created>
  <dcterms:modified xsi:type="dcterms:W3CDTF">2012-05-16T19:16:27Z</dcterms:modified>
</cp:coreProperties>
</file>